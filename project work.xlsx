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tables/table5.xml" ContentType="application/vnd.openxmlformats-officedocument.spreadsheetml.table+xml"/>
  <Override PartName="/xl/slicers/slicer3.xml" ContentType="application/vnd.ms-excel.slicer+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HP 440 G4\Desktop\"/>
    </mc:Choice>
  </mc:AlternateContent>
  <xr:revisionPtr revIDLastSave="0" documentId="13_ncr:1_{C243B916-DB70-4EB0-9469-6EAFBB48BE43}" xr6:coauthVersionLast="36" xr6:coauthVersionMax="47" xr10:uidLastSave="{00000000-0000-0000-0000-000000000000}"/>
  <bookViews>
    <workbookView xWindow="-120" yWindow="-120" windowWidth="20730" windowHeight="11160" tabRatio="613" firstSheet="2" activeTab="4" xr2:uid="{8AF4B316-9322-41FD-8488-EE86D87E9A31}"/>
  </bookViews>
  <sheets>
    <sheet name="Post(hashtag)" sheetId="5" r:id="rId1"/>
    <sheet name="post(Engagemeent)" sheetId="2" r:id="rId2"/>
    <sheet name="Engagment Summary" sheetId="3" r:id="rId3"/>
    <sheet name="Campaign Data" sheetId="4" r:id="rId4"/>
    <sheet name="Task2" sheetId="1" r:id="rId5"/>
    <sheet name="task3" sheetId="20" r:id="rId6"/>
    <sheet name="Task4" sheetId="22" r:id="rId7"/>
    <sheet name="Task5" sheetId="33" r:id="rId8"/>
    <sheet name="Task6" sheetId="40" r:id="rId9"/>
    <sheet name="video link" sheetId="41" r:id="rId10"/>
  </sheets>
  <definedNames>
    <definedName name="_xlcn.WorksheetConnection_projectwork.xlsxCampaign_Data" hidden="1">Campaign_Data[]</definedName>
    <definedName name="_xlcn.WorksheetConnection_projectwork.xlsxEngagment_Summary" hidden="1">Engagment_Summary[]</definedName>
    <definedName name="_xlcn.WorksheetConnection_projectwork.xlsxPost_Engagement" hidden="1">Post_Engagement[]</definedName>
    <definedName name="ExternalData_1" localSheetId="1" hidden="1">'post(Engagemeent)'!$A$1:$Q$301</definedName>
    <definedName name="ExternalData_2" localSheetId="2" hidden="1">'Engagment Summary'!$A$1:$I$201</definedName>
    <definedName name="ExternalData_2" localSheetId="0" hidden="1">'Post(hashtag)'!$A$1:$N$457</definedName>
    <definedName name="ExternalData_3" localSheetId="3" hidden="1">'Campaign Data'!$A$1:$F$5</definedName>
    <definedName name="Slicer_Campaign_Name">#N/A</definedName>
    <definedName name="Slicer_Content_Type">#N/A</definedName>
    <definedName name="Slicer_Content_Type1">#N/A</definedName>
    <definedName name="Slicer_Platform">#N/A</definedName>
  </definedNames>
  <calcPr calcId="191029"/>
  <pivotCaches>
    <pivotCache cacheId="0" r:id="rId11"/>
    <pivotCache cacheId="1" r:id="rId12"/>
    <pivotCache cacheId="2"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ost_Engagement" name="Post_Engagement" connection="WorksheetConnection_project work.xlsx!Post_Engagement"/>
          <x15:modelTable id="Engagment_Summary" name="Engagment_Summary" connection="WorksheetConnection_project work.xlsx!Engagment_Summary"/>
          <x15:modelTable id="Campaign_Data" name="Campaign_Data" connection="WorksheetConnection_project work.xlsx!Campaign_Data"/>
        </x15:modelTables>
        <x15:modelRelationships>
          <x15:modelRelationship fromTable="Post_Engagement" fromColumn="Campaign_Name" toTable="Campaign_Data" toColumn="Campaign_Name"/>
        </x15:modelRelationships>
      </x15:dataModel>
    </ext>
  </extLst>
</workbook>
</file>

<file path=xl/calcChain.xml><?xml version="1.0" encoding="utf-8"?>
<calcChain xmlns="http://schemas.openxmlformats.org/spreadsheetml/2006/main">
  <c r="D50" i="33" l="1"/>
  <c r="D49" i="33"/>
  <c r="D48" i="33"/>
  <c r="D47" i="33"/>
  <c r="B34" i="33"/>
  <c r="A34" i="33"/>
  <c r="C34" i="33"/>
  <c r="D34" i="33" l="1"/>
  <c r="G23" i="1"/>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J2" i="3" a="1"/>
  <c r="J2" i="3" s="1"/>
  <c r="J3" i="3" a="1"/>
  <c r="J3" i="3" s="1"/>
  <c r="J4" i="3" a="1"/>
  <c r="J4" i="3" s="1"/>
  <c r="J5" i="3" a="1"/>
  <c r="J5" i="3" s="1"/>
  <c r="J6" i="3" a="1"/>
  <c r="J6" i="3" s="1"/>
  <c r="J7" i="3" a="1"/>
  <c r="J7" i="3" s="1"/>
  <c r="J8" i="3" a="1"/>
  <c r="J8" i="3" s="1"/>
  <c r="J9" i="3" a="1"/>
  <c r="J9" i="3" s="1"/>
  <c r="J10" i="3" a="1"/>
  <c r="J10" i="3" s="1"/>
  <c r="J11" i="3" a="1"/>
  <c r="J11" i="3" s="1"/>
  <c r="J12" i="3" a="1"/>
  <c r="J12" i="3" s="1"/>
  <c r="J13" i="3" a="1"/>
  <c r="J13" i="3" s="1"/>
  <c r="J14" i="3" a="1"/>
  <c r="J14" i="3" s="1"/>
  <c r="J15" i="3" a="1"/>
  <c r="J15" i="3" s="1"/>
  <c r="J16" i="3" a="1"/>
  <c r="J16" i="3" s="1"/>
  <c r="J17" i="3" a="1"/>
  <c r="J17" i="3" s="1"/>
  <c r="J18" i="3" a="1"/>
  <c r="J18" i="3" s="1"/>
  <c r="J19" i="3" a="1"/>
  <c r="J19" i="3"/>
  <c r="J20" i="3" a="1"/>
  <c r="J20" i="3" s="1"/>
  <c r="J21" i="3" a="1"/>
  <c r="J21" i="3" s="1"/>
  <c r="J22" i="3" a="1"/>
  <c r="J22" i="3" s="1"/>
  <c r="J23" i="3" a="1"/>
  <c r="J23" i="3" s="1"/>
  <c r="J24" i="3" a="1"/>
  <c r="J24" i="3" s="1"/>
  <c r="J25" i="3" a="1"/>
  <c r="J25" i="3" s="1"/>
  <c r="J26" i="3" a="1"/>
  <c r="J26" i="3" s="1"/>
  <c r="J27" i="3" a="1"/>
  <c r="J27" i="3" s="1"/>
  <c r="J28" i="3" a="1"/>
  <c r="J28" i="3" s="1"/>
  <c r="J29" i="3" a="1"/>
  <c r="J29" i="3" s="1"/>
  <c r="J30" i="3" a="1"/>
  <c r="J30" i="3" s="1"/>
  <c r="J31" i="3" a="1"/>
  <c r="J31" i="3" s="1"/>
  <c r="J32" i="3" a="1"/>
  <c r="J32" i="3" s="1"/>
  <c r="J33" i="3" a="1"/>
  <c r="J33" i="3" s="1"/>
  <c r="J34" i="3" a="1"/>
  <c r="J34" i="3" s="1"/>
  <c r="J35" i="3" a="1"/>
  <c r="J35" i="3" s="1"/>
  <c r="J36" i="3" a="1"/>
  <c r="J36" i="3" s="1"/>
  <c r="J37" i="3" a="1"/>
  <c r="J37" i="3" s="1"/>
  <c r="J38" i="3" a="1"/>
  <c r="J38" i="3" s="1"/>
  <c r="J39" i="3" a="1"/>
  <c r="J39" i="3" s="1"/>
  <c r="J40" i="3" a="1"/>
  <c r="J40" i="3" s="1"/>
  <c r="J41" i="3" a="1"/>
  <c r="J41" i="3" s="1"/>
  <c r="J42" i="3" a="1"/>
  <c r="J42" i="3" s="1"/>
  <c r="J43" i="3" a="1"/>
  <c r="J43" i="3" s="1"/>
  <c r="J44" i="3" a="1"/>
  <c r="J44" i="3" s="1"/>
  <c r="J45" i="3" a="1"/>
  <c r="J45" i="3" s="1"/>
  <c r="J46" i="3" a="1"/>
  <c r="J46" i="3" s="1"/>
  <c r="J47" i="3" a="1"/>
  <c r="J47" i="3" s="1"/>
  <c r="J48" i="3" a="1"/>
  <c r="J48" i="3" s="1"/>
  <c r="J49" i="3" a="1"/>
  <c r="J49" i="3"/>
  <c r="J50" i="3" a="1"/>
  <c r="J50" i="3" s="1"/>
  <c r="J51" i="3" a="1"/>
  <c r="J51" i="3" s="1"/>
  <c r="J52" i="3" a="1"/>
  <c r="J52" i="3" s="1"/>
  <c r="J53" i="3" a="1"/>
  <c r="J53" i="3" s="1"/>
  <c r="J54" i="3" a="1"/>
  <c r="J54" i="3" s="1"/>
  <c r="J55" i="3" a="1"/>
  <c r="J55" i="3" s="1"/>
  <c r="J56" i="3" a="1"/>
  <c r="J56" i="3" s="1"/>
  <c r="J57" i="3" a="1"/>
  <c r="J57" i="3" s="1"/>
  <c r="J58" i="3" a="1"/>
  <c r="J58" i="3" s="1"/>
  <c r="J59" i="3" a="1"/>
  <c r="J59" i="3" s="1"/>
  <c r="J60" i="3" a="1"/>
  <c r="J60" i="3" s="1"/>
  <c r="J61" i="3" a="1"/>
  <c r="J61" i="3" s="1"/>
  <c r="J62" i="3" a="1"/>
  <c r="J62" i="3" s="1"/>
  <c r="J63" i="3" a="1"/>
  <c r="J63" i="3" s="1"/>
  <c r="J64" i="3" a="1"/>
  <c r="J64" i="3" s="1"/>
  <c r="J65" i="3" a="1"/>
  <c r="J65" i="3" s="1"/>
  <c r="J66" i="3" a="1"/>
  <c r="J66" i="3" s="1"/>
  <c r="J67" i="3" a="1"/>
  <c r="J67" i="3" s="1"/>
  <c r="J68" i="3" a="1"/>
  <c r="J68" i="3" s="1"/>
  <c r="J69" i="3" a="1"/>
  <c r="J69" i="3" s="1"/>
  <c r="J70" i="3" a="1"/>
  <c r="J70" i="3" s="1"/>
  <c r="J71" i="3" a="1"/>
  <c r="J71" i="3" s="1"/>
  <c r="J72" i="3" a="1"/>
  <c r="J72" i="3" s="1"/>
  <c r="J73" i="3" a="1"/>
  <c r="J73" i="3" s="1"/>
  <c r="J74" i="3" a="1"/>
  <c r="J74" i="3" s="1"/>
  <c r="J75" i="3" a="1"/>
  <c r="J75" i="3" s="1"/>
  <c r="J76" i="3" a="1"/>
  <c r="J76" i="3" s="1"/>
  <c r="J77" i="3" a="1"/>
  <c r="J77" i="3" s="1"/>
  <c r="J78" i="3" a="1"/>
  <c r="J78" i="3" s="1"/>
  <c r="J79" i="3" a="1"/>
  <c r="J79" i="3" s="1"/>
  <c r="J80" i="3" a="1"/>
  <c r="J80" i="3" s="1"/>
  <c r="J81" i="3" a="1"/>
  <c r="J81" i="3" s="1"/>
  <c r="J82" i="3" a="1"/>
  <c r="J82" i="3" s="1"/>
  <c r="J83" i="3" a="1"/>
  <c r="J83" i="3" s="1"/>
  <c r="J84" i="3" a="1"/>
  <c r="J84" i="3" s="1"/>
  <c r="J85" i="3" a="1"/>
  <c r="J85" i="3" s="1"/>
  <c r="J86" i="3" a="1"/>
  <c r="J86" i="3" s="1"/>
  <c r="J87" i="3" a="1"/>
  <c r="J87" i="3" s="1"/>
  <c r="J88" i="3" a="1"/>
  <c r="J88" i="3" s="1"/>
  <c r="J89" i="3" a="1"/>
  <c r="J89" i="3" s="1"/>
  <c r="J90" i="3" a="1"/>
  <c r="J90" i="3" s="1"/>
  <c r="J91" i="3" a="1"/>
  <c r="J91" i="3" s="1"/>
  <c r="J92" i="3" a="1"/>
  <c r="J92" i="3" s="1"/>
  <c r="J93" i="3" a="1"/>
  <c r="J93" i="3" s="1"/>
  <c r="J94" i="3" a="1"/>
  <c r="J94" i="3" s="1"/>
  <c r="J95" i="3" a="1"/>
  <c r="J95" i="3" s="1"/>
  <c r="J96" i="3" a="1"/>
  <c r="J96" i="3" s="1"/>
  <c r="J97" i="3" a="1"/>
  <c r="J97" i="3" s="1"/>
  <c r="J98" i="3" a="1"/>
  <c r="J98" i="3" s="1"/>
  <c r="J99" i="3" a="1"/>
  <c r="J99" i="3" s="1"/>
  <c r="J100" i="3" a="1"/>
  <c r="J100" i="3" s="1"/>
  <c r="J101" i="3" a="1"/>
  <c r="J101" i="3" s="1"/>
  <c r="J102" i="3" a="1"/>
  <c r="J102" i="3" s="1"/>
  <c r="J103" i="3" a="1"/>
  <c r="J103" i="3" s="1"/>
  <c r="J104" i="3" a="1"/>
  <c r="J104" i="3" s="1"/>
  <c r="J105" i="3" a="1"/>
  <c r="J105" i="3" s="1"/>
  <c r="J106" i="3" a="1"/>
  <c r="J106" i="3" s="1"/>
  <c r="J107" i="3" a="1"/>
  <c r="J107" i="3" s="1"/>
  <c r="J108" i="3" a="1"/>
  <c r="J108" i="3" s="1"/>
  <c r="J109" i="3" a="1"/>
  <c r="J109" i="3" s="1"/>
  <c r="J110" i="3" a="1"/>
  <c r="J110" i="3" s="1"/>
  <c r="J111" i="3" a="1"/>
  <c r="J111" i="3" s="1"/>
  <c r="J112" i="3" a="1"/>
  <c r="J112" i="3" s="1"/>
  <c r="J113" i="3" a="1"/>
  <c r="J113" i="3" s="1"/>
  <c r="J114" i="3" a="1"/>
  <c r="J114" i="3" s="1"/>
  <c r="J115" i="3" a="1"/>
  <c r="J115" i="3" s="1"/>
  <c r="J116" i="3" a="1"/>
  <c r="J116" i="3" s="1"/>
  <c r="J117" i="3" a="1"/>
  <c r="J117" i="3" s="1"/>
  <c r="J118" i="3" a="1"/>
  <c r="J118" i="3" s="1"/>
  <c r="J119" i="3" a="1"/>
  <c r="J119" i="3" s="1"/>
  <c r="J120" i="3" a="1"/>
  <c r="J120" i="3" s="1"/>
  <c r="J121" i="3" a="1"/>
  <c r="J121" i="3"/>
  <c r="J122" i="3" a="1"/>
  <c r="J122" i="3" s="1"/>
  <c r="J123" i="3" a="1"/>
  <c r="J123" i="3" s="1"/>
  <c r="J124" i="3" a="1"/>
  <c r="J124" i="3" s="1"/>
  <c r="J125" i="3" a="1"/>
  <c r="J125" i="3" s="1"/>
  <c r="J126" i="3" a="1"/>
  <c r="J126" i="3" s="1"/>
  <c r="J127" i="3" a="1"/>
  <c r="J127" i="3" s="1"/>
  <c r="J128" i="3" a="1"/>
  <c r="J128" i="3" s="1"/>
  <c r="J129" i="3" a="1"/>
  <c r="J129" i="3" s="1"/>
  <c r="J130" i="3" a="1"/>
  <c r="J130" i="3" s="1"/>
  <c r="J131" i="3" a="1"/>
  <c r="J131" i="3" s="1"/>
  <c r="J132" i="3" a="1"/>
  <c r="J132" i="3" s="1"/>
  <c r="J133" i="3" a="1"/>
  <c r="J133" i="3" s="1"/>
  <c r="J134" i="3" a="1"/>
  <c r="J134" i="3" s="1"/>
  <c r="J135" i="3" a="1"/>
  <c r="J135" i="3" s="1"/>
  <c r="J136" i="3" a="1"/>
  <c r="J136" i="3" s="1"/>
  <c r="J137" i="3" a="1"/>
  <c r="J137" i="3" s="1"/>
  <c r="J138" i="3" a="1"/>
  <c r="J138" i="3" s="1"/>
  <c r="J139" i="3" a="1"/>
  <c r="J139" i="3" s="1"/>
  <c r="J140" i="3" a="1"/>
  <c r="J140" i="3" s="1"/>
  <c r="J141" i="3" a="1"/>
  <c r="J141" i="3" s="1"/>
  <c r="J142" i="3" a="1"/>
  <c r="J142" i="3" s="1"/>
  <c r="J143" i="3" a="1"/>
  <c r="J143" i="3" s="1"/>
  <c r="J144" i="3" a="1"/>
  <c r="J144" i="3" s="1"/>
  <c r="J145" i="3" a="1"/>
  <c r="J145" i="3" s="1"/>
  <c r="J146" i="3" a="1"/>
  <c r="J146" i="3" s="1"/>
  <c r="J147" i="3" a="1"/>
  <c r="J147" i="3" s="1"/>
  <c r="J148" i="3" a="1"/>
  <c r="J148" i="3" s="1"/>
  <c r="J149" i="3" a="1"/>
  <c r="J149" i="3" s="1"/>
  <c r="J150" i="3" a="1"/>
  <c r="J150" i="3" s="1"/>
  <c r="J151" i="3" a="1"/>
  <c r="J151" i="3" s="1"/>
  <c r="J152" i="3" a="1"/>
  <c r="J152" i="3" s="1"/>
  <c r="J153" i="3" a="1"/>
  <c r="J153" i="3" s="1"/>
  <c r="J154" i="3" a="1"/>
  <c r="J154" i="3" s="1"/>
  <c r="J155" i="3" a="1"/>
  <c r="J155" i="3" s="1"/>
  <c r="J156" i="3" a="1"/>
  <c r="J156" i="3" s="1"/>
  <c r="J157" i="3" a="1"/>
  <c r="J157" i="3" s="1"/>
  <c r="J158" i="3" a="1"/>
  <c r="J158" i="3" s="1"/>
  <c r="J159" i="3" a="1"/>
  <c r="J159" i="3" s="1"/>
  <c r="J160" i="3" a="1"/>
  <c r="J160" i="3" s="1"/>
  <c r="J161" i="3" a="1"/>
  <c r="J161" i="3" s="1"/>
  <c r="J162" i="3" a="1"/>
  <c r="J162" i="3" s="1"/>
  <c r="J163" i="3" a="1"/>
  <c r="J163" i="3" s="1"/>
  <c r="J164" i="3" a="1"/>
  <c r="J164" i="3" s="1"/>
  <c r="J165" i="3" a="1"/>
  <c r="J165" i="3" s="1"/>
  <c r="J166" i="3" a="1"/>
  <c r="J166" i="3" s="1"/>
  <c r="J167" i="3" a="1"/>
  <c r="J167" i="3" s="1"/>
  <c r="J168" i="3" a="1"/>
  <c r="J168" i="3" s="1"/>
  <c r="J169" i="3" a="1"/>
  <c r="J169" i="3"/>
  <c r="J170" i="3" a="1"/>
  <c r="J170" i="3" s="1"/>
  <c r="J171" i="3" a="1"/>
  <c r="J171" i="3" s="1"/>
  <c r="J172" i="3" a="1"/>
  <c r="J172" i="3" s="1"/>
  <c r="J173" i="3" a="1"/>
  <c r="J173" i="3" s="1"/>
  <c r="J174" i="3" a="1"/>
  <c r="J174" i="3" s="1"/>
  <c r="J175" i="3" a="1"/>
  <c r="J175" i="3" s="1"/>
  <c r="J176" i="3" a="1"/>
  <c r="J176" i="3" s="1"/>
  <c r="J177" i="3" a="1"/>
  <c r="J177" i="3"/>
  <c r="J178" i="3" a="1"/>
  <c r="J178" i="3" s="1"/>
  <c r="J179" i="3" a="1"/>
  <c r="J179" i="3" s="1"/>
  <c r="J180" i="3" a="1"/>
  <c r="J180" i="3" s="1"/>
  <c r="J181" i="3" a="1"/>
  <c r="J181" i="3" s="1"/>
  <c r="J182" i="3" a="1"/>
  <c r="J182" i="3" s="1"/>
  <c r="J183" i="3" a="1"/>
  <c r="J183" i="3" s="1"/>
  <c r="J184" i="3" a="1"/>
  <c r="J184" i="3" s="1"/>
  <c r="J185" i="3" a="1"/>
  <c r="J185" i="3" s="1"/>
  <c r="J186" i="3" a="1"/>
  <c r="J186" i="3" s="1"/>
  <c r="J187" i="3" a="1"/>
  <c r="J187" i="3" s="1"/>
  <c r="J188" i="3" a="1"/>
  <c r="J188" i="3" s="1"/>
  <c r="J189" i="3" a="1"/>
  <c r="J189" i="3" s="1"/>
  <c r="J190" i="3" a="1"/>
  <c r="J190" i="3" s="1"/>
  <c r="J191" i="3" a="1"/>
  <c r="J191" i="3" s="1"/>
  <c r="J192" i="3" a="1"/>
  <c r="J192" i="3" s="1"/>
  <c r="J193" i="3" a="1"/>
  <c r="J193" i="3" s="1"/>
  <c r="J194" i="3" a="1"/>
  <c r="J194" i="3" s="1"/>
  <c r="J195" i="3" a="1"/>
  <c r="J195" i="3" s="1"/>
  <c r="J196" i="3" a="1"/>
  <c r="J196" i="3" s="1"/>
  <c r="J197" i="3" a="1"/>
  <c r="J197" i="3" s="1"/>
  <c r="J198" i="3" a="1"/>
  <c r="J198" i="3" s="1"/>
  <c r="J199" i="3" a="1"/>
  <c r="J199" i="3" s="1"/>
  <c r="J200" i="3" a="1"/>
  <c r="J200" i="3" s="1"/>
  <c r="J201" i="3" a="1"/>
  <c r="J201" i="3" s="1"/>
  <c r="E8" i="20"/>
  <c r="E12" i="20"/>
  <c r="E11" i="20"/>
  <c r="E10" i="20"/>
  <c r="E9" i="20"/>
  <c r="G26" i="1"/>
  <c r="F26" i="1"/>
  <c r="E26" i="1"/>
  <c r="D26" i="1"/>
  <c r="G25" i="1"/>
  <c r="F25" i="1"/>
  <c r="E25" i="1"/>
  <c r="D25" i="1"/>
  <c r="G24" i="1"/>
  <c r="F24" i="1"/>
  <c r="E24" i="1"/>
  <c r="D24" i="1"/>
  <c r="F23" i="1"/>
  <c r="F27" i="1" s="1"/>
  <c r="E23" i="1"/>
  <c r="D23" i="1"/>
  <c r="FO25" i="1"/>
  <c r="FN25" i="1"/>
  <c r="FM25" i="1"/>
  <c r="FL25" i="1"/>
  <c r="FO24" i="1"/>
  <c r="FN24" i="1"/>
  <c r="FM24" i="1"/>
  <c r="FL24" i="1"/>
  <c r="FO23" i="1"/>
  <c r="FN23" i="1"/>
  <c r="FM23" i="1"/>
  <c r="FL23" i="1"/>
  <c r="FO22" i="1"/>
  <c r="FN22" i="1"/>
  <c r="FM22" i="1"/>
  <c r="FL22" i="1"/>
  <c r="G204" i="3" l="1"/>
  <c r="D27" i="1"/>
  <c r="E34" i="1" s="1"/>
  <c r="G27" i="1"/>
  <c r="E27" i="1"/>
  <c r="E30" i="1"/>
  <c r="FO26" i="1"/>
  <c r="FM26" i="1"/>
  <c r="E31" i="1"/>
  <c r="E32" i="1"/>
  <c r="E33" i="1"/>
  <c r="FL26" i="1"/>
  <c r="FN2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DACBF2-6C87-4574-ABBE-98984E87AEE8}" keepAlive="1" name="Query - Campaign Data" description="Connection to the 'Campaign Data' query in the workbook." type="5" refreshedVersion="8" background="1" saveData="1">
    <dbPr connection="Provider=Microsoft.Mashup.OleDb.1;Data Source=$Workbook$;Location=&quot;Campaign Data&quot;;Extended Properties=&quot;&quot;" command="SELECT * FROM [Campaign Data]"/>
  </connection>
  <connection id="2" xr16:uid="{9C8CE62A-4AA6-4B56-9D33-4D4ECEDFBC13}" keepAlive="1" name="Query - Engagment Summary" description="Connection to the 'Engagment Summary' query in the workbook." type="5" refreshedVersion="8" background="1" saveData="1">
    <dbPr connection="Provider=Microsoft.Mashup.OleDb.1;Data Source=$Workbook$;Location=&quot;Engagment Summary&quot;;Extended Properties=&quot;&quot;" command="SELECT * FROM [Engagment Summary]"/>
  </connection>
  <connection id="3" xr16:uid="{1BBB7835-2E59-4FB1-8E40-E0CA79E11F2A}" keepAlive="1" name="Query - Post(Engagement)" description="Connection to the 'Post(Engagement)' query in the workbook." type="5" refreshedVersion="8" background="1" saveData="1">
    <dbPr connection="Provider=Microsoft.Mashup.OleDb.1;Data Source=$Workbook$;Location=Post(Engagement);Extended Properties=&quot;&quot;" command="SELECT * FROM [Post(Engagement)]"/>
  </connection>
  <connection id="4" xr16:uid="{BDB40B41-7F07-42A8-A8E9-2F25D450642C}" keepAlive="1" name="Query - Post(hashtag)" description="Connection to the 'Post(hashtag)' query in the workbook." type="5" refreshedVersion="8" background="1" saveData="1">
    <dbPr connection="Provider=Microsoft.Mashup.OleDb.1;Data Source=$Workbook$;Location=Post(hashtag);Extended Properties=&quot;&quot;" command="SELECT * FROM [Post(hashtag)]"/>
  </connection>
  <connection id="5" xr16:uid="{77E8B805-9008-4190-9C26-C72270BF457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6" xr16:uid="{BE0AE306-E140-47F7-AA81-A390B0243DAB}" name="WorksheetConnection_project work.xlsx!Campaign_Data" type="102" refreshedVersion="8" minRefreshableVersion="5">
    <extLst>
      <ext xmlns:x15="http://schemas.microsoft.com/office/spreadsheetml/2010/11/main" uri="{DE250136-89BD-433C-8126-D09CA5730AF9}">
        <x15:connection id="Campaign_Data">
          <x15:rangePr sourceName="_xlcn.WorksheetConnection_projectwork.xlsxCampaign_Data"/>
        </x15:connection>
      </ext>
    </extLst>
  </connection>
  <connection id="7" xr16:uid="{2479F4A4-96DB-464B-A7F2-965F24B60755}" name="WorksheetConnection_project work.xlsx!Engagment_Summary" type="102" refreshedVersion="8" minRefreshableVersion="5">
    <extLst>
      <ext xmlns:x15="http://schemas.microsoft.com/office/spreadsheetml/2010/11/main" uri="{DE250136-89BD-433C-8126-D09CA5730AF9}">
        <x15:connection id="Engagment_Summary">
          <x15:rangePr sourceName="_xlcn.WorksheetConnection_projectwork.xlsxEngagment_Summary"/>
        </x15:connection>
      </ext>
    </extLst>
  </connection>
  <connection id="8" xr16:uid="{3A6E6597-F397-4B62-9DB0-08A3FE35F14E}" name="WorksheetConnection_project work.xlsx!Post_Engagement" type="102" refreshedVersion="8" minRefreshableVersion="5">
    <extLst>
      <ext xmlns:x15="http://schemas.microsoft.com/office/spreadsheetml/2010/11/main" uri="{DE250136-89BD-433C-8126-D09CA5730AF9}">
        <x15:connection id="Post_Engagement">
          <x15:rangePr sourceName="_xlcn.WorksheetConnection_projectwork.xlsxPost_Engagement"/>
        </x15:connection>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<sst xmlns="http://schemas.openxmlformats.org/spreadsheetml/2006/main" count="5376" uniqueCount="453">
  <si>
    <t>Post ID</t>
  </si>
  <si>
    <t>Platform</t>
  </si>
  <si>
    <t>Date</t>
  </si>
  <si>
    <t>Content Type</t>
  </si>
  <si>
    <t>Post Text</t>
  </si>
  <si>
    <t>Likes</t>
  </si>
  <si>
    <t>Shares</t>
  </si>
  <si>
    <t>Comments</t>
  </si>
  <si>
    <t>Impressions</t>
  </si>
  <si>
    <t>Reach</t>
  </si>
  <si>
    <t>Clicks</t>
  </si>
  <si>
    <t>Hashtags Used</t>
  </si>
  <si>
    <t>Campaign_Name</t>
  </si>
  <si>
    <t>P001</t>
  </si>
  <si>
    <t>Twitter</t>
  </si>
  <si>
    <t>Reel</t>
  </si>
  <si>
    <t>Explore the latest reel on Myntra! Trendy styles await.</t>
  </si>
  <si>
    <t>#MyntraSale</t>
  </si>
  <si>
    <t>FashionUpgrade</t>
  </si>
  <si>
    <t>P002</t>
  </si>
  <si>
    <t>Text</t>
  </si>
  <si>
    <t>Explore the latest text on Myntra! Trendy styles await.</t>
  </si>
  <si>
    <t>#MyntraFashion</t>
  </si>
  <si>
    <t>EndOfSeasonSale</t>
  </si>
  <si>
    <t>P003</t>
  </si>
  <si>
    <t>YouTube</t>
  </si>
  <si>
    <t>P004</t>
  </si>
  <si>
    <t>Instagram</t>
  </si>
  <si>
    <t>Story</t>
  </si>
  <si>
    <t>Explore the latest story on Myntra! Trendy styles await.</t>
  </si>
  <si>
    <t>P005</t>
  </si>
  <si>
    <t>#StyleWithMyntra</t>
  </si>
  <si>
    <t>MyntraFestiveEdit</t>
  </si>
  <si>
    <t>P006</t>
  </si>
  <si>
    <t>Facebook</t>
  </si>
  <si>
    <t>Carousel</t>
  </si>
  <si>
    <t>Explore the latest carousel on Myntra! Trendy styles await.</t>
  </si>
  <si>
    <t>#MyntraTrend</t>
  </si>
  <si>
    <t>P007</t>
  </si>
  <si>
    <t>P008</t>
  </si>
  <si>
    <t>Image</t>
  </si>
  <si>
    <t>Explore the latest image on Myntra! Trendy styles await.</t>
  </si>
  <si>
    <t>P009</t>
  </si>
  <si>
    <t>P010</t>
  </si>
  <si>
    <t>StyleRevolution</t>
  </si>
  <si>
    <t>P011</t>
  </si>
  <si>
    <t>P012</t>
  </si>
  <si>
    <t>P013</t>
  </si>
  <si>
    <t>P014</t>
  </si>
  <si>
    <t>P015</t>
  </si>
  <si>
    <t>Video</t>
  </si>
  <si>
    <t>Explore the latest video on Myntra! Trendy styles await.</t>
  </si>
  <si>
    <t>#FashionDeals</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</si>
  <si>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</si>
  <si>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</si>
  <si>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</si>
  <si>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</si>
  <si>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</si>
  <si>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</si>
  <si>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</si>
  <si>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</si>
  <si>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</si>
  <si>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</si>
  <si>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</si>
  <si>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</si>
  <si>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</si>
  <si>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</si>
  <si>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</si>
  <si>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</si>
  <si>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</si>
  <si>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</si>
  <si>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</si>
  <si>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</si>
  <si>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</si>
  <si>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</si>
  <si>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</si>
  <si>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</si>
  <si>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</si>
  <si>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</si>
  <si>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</si>
  <si>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</si>
  <si>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</si>
  <si>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</si>
  <si>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</si>
  <si>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</si>
  <si>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</si>
  <si>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</si>
  <si>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</si>
  <si>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</si>
  <si>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</si>
  <si>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</si>
  <si>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</si>
  <si>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</si>
  <si>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</si>
  <si>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</si>
  <si>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</si>
  <si>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</si>
  <si>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</si>
  <si>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</si>
  <si>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</si>
  <si>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</si>
  <si>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</si>
  <si>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</si>
  <si>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</si>
  <si>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</si>
  <si>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</si>
  <si>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</si>
  <si>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</si>
  <si>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</si>
  <si>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</si>
  <si>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</si>
  <si>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</si>
  <si>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</si>
  <si>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</si>
  <si>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</si>
  <si>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</si>
  <si>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</si>
  <si>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</si>
  <si>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</si>
  <si>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</si>
  <si>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</si>
  <si>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</si>
  <si>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</si>
  <si>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</si>
  <si>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</si>
  <si>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</si>
  <si>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</si>
  <si>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</si>
  <si>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</si>
  <si>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</si>
  <si>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</si>
  <si>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</si>
  <si>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</si>
  <si>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</si>
  <si>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</si>
  <si>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</si>
  <si>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</si>
  <si>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</si>
  <si>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</si>
  <si>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</si>
  <si>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</si>
  <si>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</si>
  <si>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</si>
  <si>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</si>
  <si>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</si>
  <si>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</si>
  <si>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</si>
  <si>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</si>
  <si>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</si>
  <si>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</si>
  <si>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</si>
  <si>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</si>
  <si>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</si>
  <si>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</si>
  <si>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</si>
  <si>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</si>
  <si>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</si>
  <si>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</si>
  <si>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</si>
  <si>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</si>
  <si>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</si>
  <si>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</si>
  <si>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</si>
  <si>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</si>
  <si>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</si>
  <si>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</si>
  <si>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</si>
  <si>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</si>
  <si>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</si>
  <si>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</si>
  <si>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</si>
  <si>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</si>
  <si>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</si>
  <si>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</si>
  <si>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</si>
  <si>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</si>
  <si>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</si>
  <si>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</si>
  <si>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</si>
  <si>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</si>
  <si>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</si>
  <si>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</si>
  <si>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</si>
  <si>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</si>
  <si>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</si>
  <si>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</si>
  <si>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</si>
  <si>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</si>
  <si>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</si>
  <si>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</si>
  <si>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</si>
  <si>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</si>
  <si>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</si>
  <si>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</si>
  <si>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</si>
  <si>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</si>
  <si>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</si>
  <si>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</si>
  <si>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</si>
  <si>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</si>
  <si>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</si>
  <si>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</si>
  <si>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</si>
  <si>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</si>
  <si>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</si>
  <si>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</si>
  <si>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</si>
  <si>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</si>
  <si>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</si>
  <si>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</si>
  <si>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</si>
  <si>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</si>
  <si>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</si>
  <si>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</si>
  <si>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</si>
  <si>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</si>
  <si>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</si>
  <si>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</si>
  <si>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</si>
  <si>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</si>
  <si>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</si>
  <si>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</si>
  <si>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</si>
  <si>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</si>
  <si>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</si>
  <si>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</si>
  <si>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</si>
  <si>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</si>
  <si>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</si>
  <si>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</si>
  <si>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</si>
  <si>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</si>
  <si>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</si>
  <si>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</si>
  <si>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</si>
  <si>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</si>
  <si>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</si>
  <si>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</si>
  <si>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</si>
  <si>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</si>
  <si>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</si>
  <si>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</si>
  <si>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</si>
  <si>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</si>
  <si>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</si>
  <si>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</si>
  <si>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</si>
  <si>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</si>
  <si>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</si>
  <si>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</si>
  <si>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</si>
  <si>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</si>
  <si>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</si>
  <si>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</si>
  <si>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</si>
  <si>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</si>
  <si>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</si>
  <si>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</si>
  <si>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</si>
  <si>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</si>
  <si>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</si>
  <si>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</si>
  <si>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</si>
  <si>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</si>
  <si>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</si>
  <si>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</si>
  <si>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</si>
  <si>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</si>
  <si>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</si>
  <si>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</si>
  <si>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</si>
  <si>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</si>
  <si>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</si>
  <si>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</si>
  <si>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</si>
  <si>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</si>
  <si>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</si>
  <si>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</si>
  <si>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</si>
  <si>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</si>
  <si>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</si>
  <si>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</si>
  <si>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</si>
  <si>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</si>
  <si>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</si>
  <si>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</si>
  <si>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</si>
  <si>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</si>
  <si>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</si>
  <si>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</si>
  <si>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</si>
  <si>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</si>
  <si>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</si>
  <si>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</si>
  <si>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</si>
  <si>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</si>
  <si>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</si>
  <si>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</si>
  <si>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</si>
  <si>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</si>
  <si>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</si>
  <si>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</si>
  <si>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</si>
  <si>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</si>
  <si>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</si>
  <si>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</si>
  <si>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</si>
  <si>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</si>
  <si>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</si>
  <si>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</si>
  <si>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</si>
  <si>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</si>
  <si>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</si>
  <si>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</si>
  <si>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</si>
  <si>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</si>
  <si>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</si>
  <si>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</si>
  <si>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</si>
  <si>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</si>
  <si>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</si>
  <si>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</si>
  <si>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</si>
  <si>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</si>
  <si>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</si>
  <si>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</si>
  <si>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</si>
  <si>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</si>
  <si>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</si>
  <si>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</si>
  <si>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</si>
  <si>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</si>
  <si>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</si>
  <si>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</si>
  <si>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</si>
  <si>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</si>
  <si>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</si>
  <si>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</si>
  <si>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Week_Start_Date</t>
  </si>
  <si>
    <t>New_Followers</t>
  </si>
  <si>
    <t>Unfollows</t>
  </si>
  <si>
    <t>Total_Followers</t>
  </si>
  <si>
    <t>Engagement_Rate</t>
  </si>
  <si>
    <t>Ad_Spend</t>
  </si>
  <si>
    <t>Start_Date</t>
  </si>
  <si>
    <t>End_Date</t>
  </si>
  <si>
    <t>Objective</t>
  </si>
  <si>
    <t>Total_Budget</t>
  </si>
  <si>
    <t>Target_Platforms</t>
  </si>
  <si>
    <t>Seasonal Clearance Promotion</t>
  </si>
  <si>
    <t>Instagram,Facebook</t>
  </si>
  <si>
    <t>Customer Engagement</t>
  </si>
  <si>
    <t>Instagram,YouTube</t>
  </si>
  <si>
    <t>Festive Collection Launch</t>
  </si>
  <si>
    <t>Facebook,Instagram</t>
  </si>
  <si>
    <t>Brand Awareness &amp; Growth</t>
  </si>
  <si>
    <t>Instagram,Twitter</t>
  </si>
  <si>
    <t>#MyntraFashion,#MyntraSale</t>
  </si>
  <si>
    <t>#StyleWithMyntra,#MyntraFashion</t>
  </si>
  <si>
    <t>#StyleWithMyntra,#MyntraSale</t>
  </si>
  <si>
    <t>#MyntraSale,#MyntraFashion</t>
  </si>
  <si>
    <t>#MyntraFashion,#FashionDeals</t>
  </si>
  <si>
    <t>#MyntraSale,#FashionDeals</t>
  </si>
  <si>
    <t>#MyntraSale,#StyleWithMyntra</t>
  </si>
  <si>
    <t>#StyleWithMyntra,#MyntraTrend</t>
  </si>
  <si>
    <t>#MyntraSale,#MyntraTrend</t>
  </si>
  <si>
    <t>#MyntraTrend,#MyntraFashion</t>
  </si>
  <si>
    <t>#MyntraTrend,#FashionDeals</t>
  </si>
  <si>
    <t>#FashionDeals,#MyntraSale</t>
  </si>
  <si>
    <t>#FashionDeals,#MyntraFashion</t>
  </si>
  <si>
    <t>#MyntraFashion,#StyleWithMyntra</t>
  </si>
  <si>
    <t>#StyleWithMyntra,#FashionDeals</t>
  </si>
  <si>
    <t>#FashionDeals,#MyntraTrend</t>
  </si>
  <si>
    <t>#MyntraTrend,#MyntraSale</t>
  </si>
  <si>
    <t>#MyntraTrend,#StyleWithMyntra</t>
  </si>
  <si>
    <t>#FashionDeals,#StyleWithMyntra</t>
  </si>
  <si>
    <t>#MyntraFashion,#MyntraTrend</t>
  </si>
  <si>
    <t>PLATFORM</t>
  </si>
  <si>
    <t>SUM OF LIKES</t>
  </si>
  <si>
    <t>SUM OF SHARES</t>
  </si>
  <si>
    <t>SUM OF COMMENTS</t>
  </si>
  <si>
    <t>SUM OF IMPRSSIONS</t>
  </si>
  <si>
    <t>Total</t>
  </si>
  <si>
    <t>Engagement rate for you tube</t>
  </si>
  <si>
    <t>Engagement rate for Instagram</t>
  </si>
  <si>
    <t>Engagement rate for Facebook</t>
  </si>
  <si>
    <t>Engagement rate for Twitter</t>
  </si>
  <si>
    <t xml:space="preserve">     ENGAGEMENT RATE PER PLATFORM</t>
  </si>
  <si>
    <t>Engagement rate (overall)</t>
  </si>
  <si>
    <t>Row Labels</t>
  </si>
  <si>
    <t>Grand Total</t>
  </si>
  <si>
    <t>Sum of Likes</t>
  </si>
  <si>
    <t>Sum of Shares</t>
  </si>
  <si>
    <t>Sum of Comments</t>
  </si>
  <si>
    <t>Average of Clicks</t>
  </si>
  <si>
    <t>Average of Reach</t>
  </si>
  <si>
    <t>Average clicks per pot by hashtag</t>
  </si>
  <si>
    <t>Hashtags</t>
  </si>
  <si>
    <t>)</t>
  </si>
  <si>
    <t>Average of Engagement_Rate</t>
  </si>
  <si>
    <t>Average engagement rate</t>
  </si>
  <si>
    <t>Overall</t>
  </si>
  <si>
    <t>platform</t>
  </si>
  <si>
    <t>use</t>
  </si>
  <si>
    <t>Brand Visibility and Engagement</t>
  </si>
  <si>
    <t>Product demos and Education</t>
  </si>
  <si>
    <t>Reach and promotions</t>
  </si>
  <si>
    <t>Trends and annoucement</t>
  </si>
  <si>
    <t>Average of Ad_Spend</t>
  </si>
  <si>
    <t>Average of Followersgrowth_Rate</t>
  </si>
  <si>
    <t xml:space="preserve">Insights </t>
  </si>
  <si>
    <t>Highest Average  Engagement rate with strong cost efficiency making it the most eeffective platform for engagement driven-campaigns.</t>
  </si>
  <si>
    <t xml:space="preserve">Highest Average Follower growth rate combine with the lowest ad spend making it the most cost effectivee platform for audience growth. </t>
  </si>
  <si>
    <t>Strong follower growth and suitable for product demonstrations, but relatively higher ad spend reduces engagement eiciency.</t>
  </si>
  <si>
    <t>Lowest Average Followers Growth rate, also below the Overall average comparatively lower ROI and higher cost.</t>
  </si>
  <si>
    <t>Count of Post ID</t>
  </si>
  <si>
    <t>Sum of Impressions</t>
  </si>
  <si>
    <t>After Campaign</t>
  </si>
  <si>
    <t>During Campaign</t>
  </si>
  <si>
    <t>Before Campaign</t>
  </si>
  <si>
    <t>Sum of Clicks</t>
  </si>
  <si>
    <t>Average of Impressions</t>
  </si>
  <si>
    <t>Average of Likes</t>
  </si>
  <si>
    <t>Campaign phase</t>
  </si>
  <si>
    <t>Campaign Name</t>
  </si>
  <si>
    <t>Campaign</t>
  </si>
  <si>
    <t>outside campaign</t>
  </si>
  <si>
    <t>Column Labels</t>
  </si>
  <si>
    <t>Follower_Gain</t>
  </si>
  <si>
    <t>Sum of Follower_Gain</t>
  </si>
  <si>
    <t>campaign_Start_Date</t>
  </si>
  <si>
    <t>Campaign_End_Date</t>
  </si>
  <si>
    <t>Average of Shares</t>
  </si>
  <si>
    <t>Average of Comments</t>
  </si>
  <si>
    <t>Total Engagement Before</t>
  </si>
  <si>
    <t>Total Engagement During</t>
  </si>
  <si>
    <t>Total Engagement After</t>
  </si>
  <si>
    <t>Engagement Upliftment During VS Before (%)</t>
  </si>
  <si>
    <t>Sum of Ad_Spend</t>
  </si>
  <si>
    <t>Followersgrowth_Rate(%)</t>
  </si>
  <si>
    <t>Campign Name</t>
  </si>
  <si>
    <t>Budget allocation</t>
  </si>
  <si>
    <t>Engagement per Rupee</t>
  </si>
  <si>
    <t>EndOfSeassonSale</t>
  </si>
  <si>
    <t>Style Revolution</t>
  </si>
  <si>
    <t>Column1</t>
  </si>
  <si>
    <t>Column2</t>
  </si>
  <si>
    <t>Column3</t>
  </si>
  <si>
    <t>Column4</t>
  </si>
  <si>
    <t>Engagement upliftmnt=(Engag. during-Engag. Bfore)/Engag Before</t>
  </si>
  <si>
    <t>Formula Used:</t>
  </si>
  <si>
    <t>Engag. During Campaign</t>
  </si>
  <si>
    <t>https://www.loom.com/share/ce7c98d0552b47408140d9f59d9344d0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</si>
</sst>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14">
    <font>
      <sz val="11"/>
      <color theme="1"/>
      <name val="Aptos Narrow"/>
      <family val="2"/>
      <scheme val="minor"/>
    </font>
    <font>
      <b/>
      <sz val="11"/>
      <color theme="1"/>
      <name val="Aptos Narrow"/>
      <family val="2"/>
      <scheme val="minor"/>
    </font>
    <font>
      <b/>
      <sz val="12"/>
      <color theme="1"/>
      <name val="Aptos Narrow"/>
      <family val="2"/>
      <scheme val="minor"/>
    </font>
    <font>
      <sz val="12"/>
      <color theme="1"/>
      <name val="Aptos Narrow"/>
      <family val="2"/>
      <scheme val="minor"/>
    </font>
    <font>
      <b/>
      <sz val="11"/>
      <color theme="0"/>
      <name val="Aptos Narrow"/>
      <family val="2"/>
      <scheme val="minor"/>
    </font>
    <font>
      <sz val="8"/>
      <name val="Aptos Narrow"/>
      <family val="2"/>
      <scheme val="minor"/>
    </font>
    <font>
      <sz val="14"/>
      <color theme="1"/>
      <name val="Aptos Narrow"/>
      <family val="2"/>
      <scheme val="minor"/>
    </font>
    <font>
      <b/>
      <sz val="14"/>
      <color theme="1"/>
      <name val="Aptos Narrow"/>
      <family val="2"/>
      <scheme val="minor"/>
    </font>
    <font>
      <sz val="11"/>
      <color theme="1"/>
      <name val="Aptos Narrow"/>
      <family val="2"/>
      <scheme val="minor"/>
    </font>
    <font>
      <b/>
      <sz val="14"/>
      <color rgb="FF196B24"/>
      <name val="Aptos Narrow"/>
      <family val="2"/>
      <scheme val="minor"/>
    </font>
    <font>
      <b/>
      <sz val="16"/>
      <color rgb="FF196B24"/>
      <name val="Aptos Narrow"/>
      <family val="2"/>
      <scheme val="minor"/>
    </font>
    <font>
      <b/>
      <sz val="14"/>
      <color theme="1"/>
      <name val="Aptos Narrow"/>
      <scheme val="minor"/>
    </font>
    <font>
      <sz val="14"/>
      <color theme="1"/>
      <name val="Aptos Narrow"/>
      <scheme val="minor"/>
    </font>
    <font>
      <u/>
      <sz val="11"/>
      <color theme="10"/>
      <name val="Aptos Narrow"/>
      <family val="2"/>
      <scheme val="minor"/>
    </font>
  </fonts>
  <fills count="9">
    <fill>
      <patternFill patternType="none"/>
    </fill>
    <fill>
      <patternFill patternType="gray125"/>
    </fill>
    <fill>
      <patternFill patternType="solid">
        <fgColor theme="3" tint="0.749992370372631"/>
        <bgColor indexed="64"/>
      </patternFill>
    </fill>
    <fill>
      <patternFill patternType="solid">
        <fgColor theme="9" tint="0.79998168889431442"/>
        <bgColor theme="9" tint="0.79998168889431442"/>
      </patternFill>
    </fill>
    <fill>
      <patternFill patternType="solid">
        <fgColor theme="9"/>
        <bgColor theme="9"/>
      </patternFill>
    </fill>
    <fill>
      <patternFill patternType="solid">
        <fgColor theme="6" tint="0.59999389629810485"/>
        <bgColor indexed="64"/>
      </patternFill>
    </fill>
    <fill>
      <patternFill patternType="solid">
        <fgColor theme="5" tint="0.59999389629810485"/>
        <bgColor indexed="64"/>
      </patternFill>
    </fill>
    <fill>
      <patternFill patternType="solid">
        <fgColor rgb="FFFFFF00"/>
        <bgColor indexed="64"/>
      </patternFill>
    </fill>
    <fill>
      <patternFill patternType="solid">
        <fgColor theme="6"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3">
    <xf numFmtId="0" fontId="0" fillId="0" borderId="0"/>
    <xf numFmtId="9" fontId="8" fillId="0" borderId="0" applyFont="0" applyFill="0" applyBorder="0" applyAlignment="0" applyProtection="0"/>
    <xf numFmtId="0" fontId="13" fillId="0" borderId="0" applyNumberFormat="0" applyFill="0" applyBorder="0" applyAlignment="0" applyProtection="0"/>
  </cellStyleXfs>
  <cellXfs count="80">
    <xf numFmtId="0" fontId="0" fillId="0" borderId="0" xfId="0"/>
    <xf numFmtId="14" fontId="0" fillId="0" borderId="0" xfId="0" applyNumberFormat="1"/>
    <xf numFmtId="0" fontId="0" fillId="0" borderId="0" xfId="0" applyAlignment="1">
      <alignment horizontal="center" vertical="center"/>
    </xf>
    <xf numFmtId="0" fontId="0" fillId="0" borderId="1" xfId="0" applyBorder="1"/>
    <xf numFmtId="0" fontId="2" fillId="2" borderId="1" xfId="0" applyFont="1" applyFill="1" applyBorder="1" applyAlignment="1">
      <alignment horizontal="center" vertical="center"/>
    </xf>
    <xf numFmtId="0" fontId="1" fillId="0" borderId="1" xfId="0" applyFont="1" applyBorder="1" applyAlignment="1">
      <alignment horizontal="left"/>
    </xf>
    <xf numFmtId="10" fontId="0" fillId="0" borderId="0" xfId="0" applyNumberFormat="1"/>
    <xf numFmtId="0" fontId="3" fillId="2" borderId="1" xfId="0" applyFont="1" applyFill="1" applyBorder="1"/>
    <xf numFmtId="0" fontId="0" fillId="3" borderId="2" xfId="0" applyFill="1" applyBorder="1"/>
    <xf numFmtId="0" fontId="0" fillId="3" borderId="3" xfId="0" applyFill="1" applyBorder="1"/>
    <xf numFmtId="0" fontId="0" fillId="0" borderId="2" xfId="0" applyBorder="1"/>
    <xf numFmtId="0" fontId="0" fillId="0" borderId="3" xfId="0" applyBorder="1"/>
    <xf numFmtId="0" fontId="4" fillId="4" borderId="2" xfId="0" applyFont="1" applyFill="1" applyBorder="1"/>
    <xf numFmtId="0" fontId="4" fillId="4" borderId="3" xfId="0" applyFont="1" applyFill="1" applyBorder="1"/>
    <xf numFmtId="0" fontId="4" fillId="4" borderId="4" xfId="0" applyFont="1" applyFill="1" applyBorder="1"/>
    <xf numFmtId="14" fontId="0" fillId="3" borderId="3" xfId="0" applyNumberFormat="1" applyFill="1" applyBorder="1"/>
    <xf numFmtId="14" fontId="0" fillId="0" borderId="3" xfId="0" applyNumberFormat="1" applyBorder="1"/>
    <xf numFmtId="0" fontId="0" fillId="3" borderId="4" xfId="0" applyFill="1" applyBorder="1"/>
    <xf numFmtId="0" fontId="0" fillId="0" borderId="4" xfId="0" applyBorder="1"/>
    <xf numFmtId="0" fontId="0" fillId="0" borderId="0" xfId="0" pivotButton="1"/>
    <xf numFmtId="0" fontId="0" fillId="0" borderId="0" xfId="0" applyAlignment="1">
      <alignment horizontal="left"/>
    </xf>
    <xf numFmtId="0" fontId="0" fillId="0" borderId="0" xfId="0" pivotButton="1" applyAlignment="1">
      <alignment horizontal="center"/>
    </xf>
    <xf numFmtId="0" fontId="0" fillId="0" borderId="0" xfId="0" applyAlignment="1">
      <alignment horizontal="center"/>
    </xf>
    <xf numFmtId="0" fontId="3" fillId="0" borderId="0" xfId="0" pivotButton="1" applyFont="1"/>
    <xf numFmtId="0" fontId="3" fillId="0" borderId="0" xfId="0" applyFont="1"/>
    <xf numFmtId="0" fontId="3" fillId="0" borderId="0" xfId="0" applyFont="1" applyAlignment="1">
      <alignment horizontal="left"/>
    </xf>
    <xf numFmtId="2" fontId="3" fillId="0" borderId="0" xfId="0" applyNumberFormat="1" applyFont="1"/>
    <xf numFmtId="0" fontId="3" fillId="0" borderId="0" xfId="0" applyFont="1" applyAlignment="1">
      <alignment horizontal="center"/>
    </xf>
    <xf numFmtId="0" fontId="3" fillId="0" borderId="1" xfId="0" applyFont="1" applyBorder="1"/>
    <xf numFmtId="10" fontId="3" fillId="0" borderId="1" xfId="0" applyNumberFormat="1" applyFont="1" applyBorder="1"/>
    <xf numFmtId="10" fontId="3" fillId="5" borderId="1" xfId="0" applyNumberFormat="1" applyFont="1" applyFill="1" applyBorder="1"/>
    <xf numFmtId="10" fontId="3" fillId="2" borderId="1" xfId="0" applyNumberFormat="1" applyFont="1" applyFill="1" applyBorder="1"/>
    <xf numFmtId="0" fontId="2" fillId="0" borderId="1" xfId="0" applyFont="1" applyBorder="1" applyAlignment="1">
      <alignment horizontal="left"/>
    </xf>
    <xf numFmtId="0" fontId="2" fillId="2" borderId="1" xfId="0" applyFont="1" applyFill="1" applyBorder="1"/>
    <xf numFmtId="0" fontId="1" fillId="2" borderId="1" xfId="0" applyFont="1" applyFill="1" applyBorder="1"/>
    <xf numFmtId="2" fontId="0" fillId="0" borderId="0" xfId="0" applyNumberFormat="1"/>
    <xf numFmtId="0" fontId="7" fillId="6" borderId="1" xfId="0" applyFont="1" applyFill="1" applyBorder="1" applyAlignment="1">
      <alignment horizontal="center"/>
    </xf>
    <xf numFmtId="10" fontId="7" fillId="6" borderId="1" xfId="0" applyNumberFormat="1" applyFont="1" applyFill="1" applyBorder="1" applyAlignment="1">
      <alignment horizontal="center"/>
    </xf>
    <xf numFmtId="0" fontId="7" fillId="6" borderId="1" xfId="0" applyFont="1" applyFill="1" applyBorder="1"/>
    <xf numFmtId="10" fontId="7" fillId="6" borderId="1" xfId="0" applyNumberFormat="1" applyFont="1" applyFill="1" applyBorder="1"/>
    <xf numFmtId="0" fontId="0" fillId="2" borderId="1" xfId="0" applyFill="1" applyBorder="1"/>
    <xf numFmtId="10" fontId="0" fillId="2" borderId="1" xfId="0" applyNumberFormat="1" applyFill="1" applyBorder="1"/>
    <xf numFmtId="2" fontId="0" fillId="2" borderId="1" xfId="0" applyNumberFormat="1" applyFill="1" applyBorder="1"/>
    <xf numFmtId="2" fontId="0" fillId="0" borderId="0" xfId="0" applyNumberFormat="1" applyAlignment="1">
      <alignment horizontal="center"/>
    </xf>
    <xf numFmtId="0" fontId="7" fillId="2" borderId="1" xfId="0" applyFont="1" applyFill="1" applyBorder="1" applyAlignment="1">
      <alignment vertical="center"/>
    </xf>
    <xf numFmtId="10" fontId="7" fillId="2" borderId="1" xfId="0" applyNumberFormat="1" applyFont="1" applyFill="1" applyBorder="1" applyAlignment="1">
      <alignment horizontal="center" vertical="center"/>
    </xf>
    <xf numFmtId="0" fontId="6" fillId="2" borderId="1" xfId="0" applyFont="1" applyFill="1" applyBorder="1" applyAlignment="1">
      <alignment horizontal="left" vertical="top"/>
    </xf>
    <xf numFmtId="10" fontId="6" fillId="2" borderId="1" xfId="0" applyNumberFormat="1" applyFont="1" applyFill="1" applyBorder="1" applyAlignment="1">
      <alignment horizontal="left" vertical="top" wrapText="1"/>
    </xf>
    <xf numFmtId="0" fontId="1" fillId="0" borderId="0" xfId="0" applyFont="1"/>
    <xf numFmtId="0" fontId="1" fillId="0" borderId="0" xfId="0" applyFont="1" applyAlignment="1">
      <alignment horizontal="left"/>
    </xf>
    <xf numFmtId="2" fontId="1" fillId="0" borderId="0" xfId="0" applyNumberFormat="1" applyFont="1"/>
    <xf numFmtId="0" fontId="9" fillId="0" borderId="0" xfId="0" applyFont="1" applyAlignment="1">
      <alignment horizontal="left" vertical="center"/>
    </xf>
    <xf numFmtId="0" fontId="10" fillId="0" borderId="0" xfId="0" applyFont="1"/>
    <xf numFmtId="0" fontId="10" fillId="0" borderId="0" xfId="0" applyFont="1" applyAlignment="1">
      <alignment horizontal="left" vertical="center"/>
    </xf>
    <xf numFmtId="14" fontId="0" fillId="0" borderId="0" xfId="0" applyNumberFormat="1" applyAlignment="1">
      <alignment horizontal="left"/>
    </xf>
    <xf numFmtId="164" fontId="0" fillId="0" borderId="0" xfId="0" applyNumberFormat="1" applyAlignment="1">
      <alignment horizontal="left"/>
    </xf>
    <xf numFmtId="0" fontId="2" fillId="2" borderId="1" xfId="0" applyFont="1" applyFill="1" applyBorder="1" applyAlignment="1">
      <alignment horizontal="left"/>
    </xf>
    <xf numFmtId="0" fontId="0" fillId="0" borderId="0" xfId="0" applyNumberFormat="1" applyAlignment="1">
      <alignment horizontal="center"/>
    </xf>
    <xf numFmtId="0" fontId="12" fillId="0" borderId="1" xfId="0" applyFont="1" applyBorder="1" applyAlignment="1">
      <alignment horizontal="left"/>
    </xf>
    <xf numFmtId="0" fontId="12" fillId="7" borderId="1" xfId="0" applyFont="1" applyFill="1" applyBorder="1" applyAlignment="1">
      <alignment vertical="center"/>
    </xf>
    <xf numFmtId="0" fontId="12" fillId="7" borderId="1" xfId="0" applyFont="1" applyFill="1" applyBorder="1" applyAlignment="1">
      <alignment horizontal="center" vertical="center"/>
    </xf>
    <xf numFmtId="0" fontId="12" fillId="7" borderId="1" xfId="0" applyFont="1" applyFill="1" applyBorder="1" applyAlignment="1">
      <alignment horizontal="center" wrapText="1"/>
    </xf>
    <xf numFmtId="9" fontId="0" fillId="0" borderId="0" xfId="1" applyFont="1"/>
    <xf numFmtId="0" fontId="0" fillId="0" borderId="5" xfId="0" applyBorder="1"/>
    <xf numFmtId="0" fontId="0" fillId="0" borderId="7" xfId="0" applyBorder="1"/>
    <xf numFmtId="0" fontId="0" fillId="0" borderId="8" xfId="0" applyBorder="1"/>
    <xf numFmtId="0" fontId="0" fillId="0" borderId="9" xfId="0" applyBorder="1"/>
    <xf numFmtId="0" fontId="0" fillId="0" borderId="11" xfId="0" applyBorder="1"/>
    <xf numFmtId="0" fontId="0" fillId="0" borderId="12" xfId="0" applyBorder="1"/>
    <xf numFmtId="0" fontId="11" fillId="0" borderId="5" xfId="0" applyFont="1" applyBorder="1"/>
    <xf numFmtId="0" fontId="11" fillId="0" borderId="1" xfId="0" applyFont="1" applyBorder="1"/>
    <xf numFmtId="0" fontId="11" fillId="0" borderId="6" xfId="0" applyFont="1" applyBorder="1"/>
    <xf numFmtId="2" fontId="0" fillId="0" borderId="6" xfId="0" applyNumberFormat="1" applyBorder="1"/>
    <xf numFmtId="2" fontId="0" fillId="0" borderId="10" xfId="0" applyNumberFormat="1" applyBorder="1"/>
    <xf numFmtId="0" fontId="6" fillId="8" borderId="0" xfId="0" applyFont="1" applyFill="1" applyAlignment="1">
      <alignment vertical="center" wrapText="1"/>
    </xf>
    <xf numFmtId="0" fontId="6" fillId="8" borderId="0" xfId="0" applyFont="1" applyFill="1"/>
    <xf numFmtId="0" fontId="7" fillId="0" borderId="1" xfId="0" applyFont="1" applyBorder="1"/>
    <xf numFmtId="0" fontId="3" fillId="0" borderId="0" xfId="0" applyNumberFormat="1" applyFont="1" applyAlignment="1">
      <alignment horizontal="center"/>
    </xf>
    <xf numFmtId="0" fontId="3" fillId="0" borderId="0" xfId="0" applyNumberFormat="1" applyFont="1"/>
    <xf numFmtId="0" fontId="13" fillId="0" borderId="0" xfId="2"/>
  </cellXfs>
  <cellStyles count="3">
    <cellStyle name="Hyperlink" xfId="2" builtinId="8"/>
    <cellStyle name="Normal" xfId="0" builtinId="0"/>
    <cellStyle name="Percent" xfId="1" builtinId="5"/>
  </cellStyles>
  <dxfs count="90">
    <dxf>
      <alignment horizontal="center"/>
    </dxf>
    <dxf>
      <alignment horizontal="center"/>
    </dxf>
    <dxf>
      <alignment horizontal="center"/>
    </dxf>
    <dxf>
      <numFmt numFmtId="164" formatCode="[$-409]dd\-mmm\-yy;@"/>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numFmt numFmtId="2" formatCode="0.00"/>
    </dxf>
    <dxf>
      <font>
        <b/>
      </font>
    </dxf>
    <dxf>
      <font>
        <b/>
      </font>
    </dxf>
    <dxf>
      <font>
        <b/>
      </font>
    </dxf>
    <dxf>
      <font>
        <b/>
      </font>
    </dxf>
    <dxf>
      <numFmt numFmtId="2" formatCode="0.00"/>
    </dxf>
    <dxf>
      <numFmt numFmtId="2" formatCode="0.00"/>
    </dxf>
    <dxf>
      <alignment horizontal="center"/>
    </dxf>
    <dxf>
      <alignment horizontal="center"/>
    </dxf>
    <dxf>
      <alignment horizontal="center"/>
    </dxf>
    <dxf>
      <alignment horizontal="center"/>
    </dxf>
    <dxf>
      <alignment horizontal="center"/>
    </dxf>
    <dxf>
      <font>
        <sz val="12"/>
      </font>
    </dxf>
    <dxf>
      <font>
        <sz val="12"/>
      </font>
    </dxf>
    <dxf>
      <alignment horizontal="center"/>
    </dxf>
    <dxf>
      <font>
        <sz val="12"/>
      </font>
    </dxf>
    <dxf>
      <font>
        <sz val="12"/>
      </font>
    </dxf>
    <dxf>
      <font>
        <sz val="12"/>
      </font>
    </dxf>
    <dxf>
      <font>
        <sz val="12"/>
      </font>
    </dxf>
    <dxf>
      <font>
        <sz val="12"/>
      </font>
    </dxf>
    <dxf>
      <alignment horizontal="center"/>
    </dxf>
    <dxf>
      <alignment vertical="center"/>
    </dxf>
    <dxf>
      <alignment horizont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numFmt numFmtId="2" formatCode="0.00"/>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2" formatCode="0.00"/>
    </dxf>
    <dxf>
      <numFmt numFmtId="2" formatCode="0.00"/>
    </dxf>
    <dxf>
      <numFmt numFmtId="2" formatCode="0.00"/>
    </dxf>
    <dxf>
      <numFmt numFmtId="0" formatCode="General"/>
    </dxf>
    <dxf>
      <numFmt numFmtId="0" formatCode="General"/>
    </dxf>
    <dxf>
      <numFmt numFmtId="19" formatCode="m/d/yyyy"/>
    </dxf>
    <dxf>
      <numFmt numFmtId="19" formatCode="m/d/yyyy"/>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worksheet" Target="worksheets/sheet10.xml"/><Relationship Id="rId19" Type="http://schemas.openxmlformats.org/officeDocument/2006/relationships/connections" Target="connections.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eetMetadata" Target="metadata.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microsoft.com/office/2007/relationships/slicerCache" Target="slicerCaches/slicerCache4.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200"/>
              <a:t>platform</a:t>
            </a:r>
            <a:r>
              <a:rPr lang="en-US" sz="1200" baseline="0"/>
              <a:t> vs follower wrowth rate</a:t>
            </a:r>
            <a:endParaRPr lang="en-US" sz="1200"/>
          </a:p>
        </c:rich>
      </c:tx>
      <c:layout>
        <c:manualLayout>
          <c:xMode val="edge"/>
          <c:yMode val="edge"/>
          <c:x val="0.18737628764146416"/>
          <c:y val="0.16173534930901118"/>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pPr>
            <a:solidFill>
              <a:schemeClr val="accent1"/>
            </a:solidFill>
            <a:ln w="22225">
              <a:solidFill>
                <a:schemeClr val="l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00B050"/>
          </a:solidFill>
          <a:ln>
            <a:noFill/>
          </a:ln>
          <a:effectLst/>
        </c:spPr>
      </c:pivotFmt>
    </c:pivotFmts>
    <c:plotArea>
      <c:layout>
        <c:manualLayout>
          <c:layoutTarget val="inner"/>
          <c:xMode val="edge"/>
          <c:yMode val="edge"/>
          <c:x val="0.2632704805704596"/>
          <c:y val="0.26302521224022701"/>
          <c:w val="0.67534898845608904"/>
          <c:h val="0.57883080138967524"/>
        </c:manualLayout>
      </c:layout>
      <c:barChart>
        <c:barDir val="bar"/>
        <c:grouping val="clustered"/>
        <c:varyColors val="0"/>
        <c:ser>
          <c:idx val="0"/>
          <c:order val="0"/>
          <c:tx>
            <c:v>Total</c:v>
          </c:tx>
          <c:spPr>
            <a:pattFill prst="ltUpDiag">
              <a:fgClr>
                <a:schemeClr val="accent1"/>
              </a:fgClr>
              <a:bgClr>
                <a:schemeClr val="lt1"/>
              </a:bgClr>
            </a:pattFill>
            <a:ln>
              <a:noFill/>
            </a:ln>
            <a:effectLst/>
          </c:spPr>
          <c:invertIfNegative val="0"/>
          <c:dPt>
            <c:idx val="2"/>
            <c:invertIfNegative val="0"/>
            <c:bubble3D val="0"/>
            <c:spPr>
              <a:solidFill>
                <a:srgbClr val="00B050"/>
              </a:solidFill>
              <a:ln>
                <a:noFill/>
              </a:ln>
              <a:effectLst/>
            </c:spPr>
            <c:extLst>
              <c:ext xmlns:c16="http://schemas.microsoft.com/office/drawing/2014/chart" uri="{C3380CC4-5D6E-409C-BE32-E72D297353CC}">
                <c16:uniqueId val="{00000002-0C0E-41A1-A13E-8880761283FA}"/>
              </c:ext>
            </c:extLst>
          </c:dPt>
          <c:dPt>
            <c:idx val="3"/>
            <c:invertIfNegative val="0"/>
            <c:bubble3D val="0"/>
            <c:spPr>
              <a:solidFill>
                <a:srgbClr val="00B050"/>
              </a:solidFill>
              <a:ln>
                <a:noFill/>
              </a:ln>
              <a:effectLst/>
            </c:spPr>
            <c:extLst>
              <c:ext xmlns:c16="http://schemas.microsoft.com/office/drawing/2014/chart" uri="{C3380CC4-5D6E-409C-BE32-E72D297353CC}">
                <c16:uniqueId val="{00000003-0C0E-41A1-A13E-8880761283FA}"/>
              </c:ext>
            </c:extLst>
          </c:dPt>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Lit>
              <c:ptCount val="4"/>
              <c:pt idx="0">
                <c:v>Facebook</c:v>
              </c:pt>
              <c:pt idx="1">
                <c:v>Instagram</c:v>
              </c:pt>
              <c:pt idx="2">
                <c:v>Twitter</c:v>
              </c:pt>
              <c:pt idx="3">
                <c:v>YouTube</c:v>
              </c:pt>
            </c:strLit>
          </c:cat>
          <c:val>
            <c:numLit>
              <c:formatCode>General</c:formatCode>
              <c:ptCount val="4"/>
              <c:pt idx="0">
                <c:v>0.54649906832972628</c:v>
              </c:pt>
              <c:pt idx="1">
                <c:v>0.57625321264951812</c:v>
              </c:pt>
              <c:pt idx="2">
                <c:v>0.92800256766213385</c:v>
              </c:pt>
              <c:pt idx="3">
                <c:v>0.90210666313360066</c:v>
              </c:pt>
            </c:numLit>
          </c:val>
          <c:extLst>
            <c:ext xmlns:c16="http://schemas.microsoft.com/office/drawing/2014/chart" uri="{C3380CC4-5D6E-409C-BE32-E72D297353CC}">
              <c16:uniqueId val="{00000000-0C0E-41A1-A13E-8880761283FA}"/>
            </c:ext>
          </c:extLst>
        </c:ser>
        <c:dLbls>
          <c:dLblPos val="outEnd"/>
          <c:showLegendKey val="0"/>
          <c:showVal val="1"/>
          <c:showCatName val="0"/>
          <c:showSerName val="0"/>
          <c:showPercent val="0"/>
          <c:showBubbleSize val="0"/>
        </c:dLbls>
        <c:gapWidth val="269"/>
        <c:overlap val="-20"/>
        <c:axId val="1819737023"/>
        <c:axId val="1819737503"/>
      </c:barChart>
      <c:catAx>
        <c:axId val="1819737023"/>
        <c:scaling>
          <c:orientation val="minMax"/>
        </c:scaling>
        <c:delete val="0"/>
        <c:axPos val="l"/>
        <c:numFmt formatCode="General" sourceLinked="1"/>
        <c:majorTickMark val="out"/>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819737503"/>
        <c:crosses val="autoZero"/>
        <c:auto val="1"/>
        <c:lblAlgn val="ctr"/>
        <c:lblOffset val="100"/>
        <c:noMultiLvlLbl val="0"/>
      </c:catAx>
      <c:valAx>
        <c:axId val="1819737503"/>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19737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Average of Ad_Spend</c:v>
          </c:tx>
          <c:spPr>
            <a:solidFill>
              <a:schemeClr val="accent1"/>
            </a:solidFill>
            <a:ln>
              <a:noFill/>
            </a:ln>
            <a:effectLst/>
          </c:spPr>
          <c:invertIfNegative val="0"/>
          <c:cat>
            <c:strLit>
              <c:ptCount val="4"/>
              <c:pt idx="0">
                <c:v>Facebook</c:v>
              </c:pt>
              <c:pt idx="1">
                <c:v>Instagram</c:v>
              </c:pt>
              <c:pt idx="2">
                <c:v>Twitter</c:v>
              </c:pt>
              <c:pt idx="3">
                <c:v>YouTube</c:v>
              </c:pt>
            </c:strLit>
          </c:cat>
          <c:val>
            <c:numLit>
              <c:formatCode>General</c:formatCode>
              <c:ptCount val="4"/>
              <c:pt idx="0">
                <c:v>27590.78</c:v>
              </c:pt>
              <c:pt idx="1">
                <c:v>23287.46</c:v>
              </c:pt>
              <c:pt idx="2">
                <c:v>21207.14</c:v>
              </c:pt>
              <c:pt idx="3">
                <c:v>24572.94</c:v>
              </c:pt>
            </c:numLit>
          </c:val>
          <c:extLst>
            <c:ext xmlns:c16="http://schemas.microsoft.com/office/drawing/2014/chart" uri="{C3380CC4-5D6E-409C-BE32-E72D297353CC}">
              <c16:uniqueId val="{00000000-8BD0-47D2-AA69-BF4EFD18AB78}"/>
            </c:ext>
          </c:extLst>
        </c:ser>
        <c:dLbls>
          <c:showLegendKey val="0"/>
          <c:showVal val="0"/>
          <c:showCatName val="0"/>
          <c:showSerName val="0"/>
          <c:showPercent val="0"/>
          <c:showBubbleSize val="0"/>
        </c:dLbls>
        <c:gapWidth val="219"/>
        <c:overlap val="-27"/>
        <c:axId val="1819731263"/>
        <c:axId val="1819725503"/>
      </c:barChart>
      <c:lineChart>
        <c:grouping val="standard"/>
        <c:varyColors val="0"/>
        <c:ser>
          <c:idx val="1"/>
          <c:order val="1"/>
          <c:tx>
            <c:v>Average of Engagement_Rate</c:v>
          </c:tx>
          <c:spPr>
            <a:ln w="28575" cap="rnd">
              <a:solidFill>
                <a:schemeClr val="accent2"/>
              </a:solidFill>
              <a:round/>
            </a:ln>
            <a:effectLst/>
          </c:spPr>
          <c:marker>
            <c:symbol val="none"/>
          </c:marker>
          <c:cat>
            <c:strLit>
              <c:ptCount val="4"/>
              <c:pt idx="0">
                <c:v>Facebook</c:v>
              </c:pt>
              <c:pt idx="1">
                <c:v>Instagram</c:v>
              </c:pt>
              <c:pt idx="2">
                <c:v>Twitter</c:v>
              </c:pt>
              <c:pt idx="3">
                <c:v>YouTube</c:v>
              </c:pt>
            </c:strLit>
          </c:cat>
          <c:val>
            <c:numLit>
              <c:formatCode>General</c:formatCode>
              <c:ptCount val="4"/>
              <c:pt idx="0">
                <c:v>5.6486000000000001</c:v>
              </c:pt>
              <c:pt idx="1">
                <c:v>5.7156000000000002</c:v>
              </c:pt>
              <c:pt idx="2">
                <c:v>5.6558000000000002</c:v>
              </c:pt>
              <c:pt idx="3">
                <c:v>5.5587999999999997</c:v>
              </c:pt>
            </c:numLit>
          </c:val>
          <c:smooth val="0"/>
          <c:extLst>
            <c:ext xmlns:c16="http://schemas.microsoft.com/office/drawing/2014/chart" uri="{C3380CC4-5D6E-409C-BE32-E72D297353CC}">
              <c16:uniqueId val="{00000001-8BD0-47D2-AA69-BF4EFD18AB78}"/>
            </c:ext>
          </c:extLst>
        </c:ser>
        <c:dLbls>
          <c:showLegendKey val="0"/>
          <c:showVal val="0"/>
          <c:showCatName val="0"/>
          <c:showSerName val="0"/>
          <c:showPercent val="0"/>
          <c:showBubbleSize val="0"/>
        </c:dLbls>
        <c:marker val="1"/>
        <c:smooth val="0"/>
        <c:axId val="1819748063"/>
        <c:axId val="1819749503"/>
      </c:lineChart>
      <c:catAx>
        <c:axId val="181973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725503"/>
        <c:crosses val="autoZero"/>
        <c:auto val="1"/>
        <c:lblAlgn val="ctr"/>
        <c:lblOffset val="100"/>
        <c:noMultiLvlLbl val="0"/>
      </c:catAx>
      <c:valAx>
        <c:axId val="1819725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731263"/>
        <c:crosses val="autoZero"/>
        <c:crossBetween val="between"/>
      </c:valAx>
      <c:valAx>
        <c:axId val="181974950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748063"/>
        <c:crosses val="max"/>
        <c:crossBetween val="between"/>
      </c:valAx>
      <c:catAx>
        <c:axId val="1819748063"/>
        <c:scaling>
          <c:orientation val="minMax"/>
        </c:scaling>
        <c:delete val="1"/>
        <c:axPos val="b"/>
        <c:numFmt formatCode="General" sourceLinked="1"/>
        <c:majorTickMark val="out"/>
        <c:minorTickMark val="none"/>
        <c:tickLblPos val="nextTo"/>
        <c:crossAx val="181974950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work.xlsx]Task4!PivotTable2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Most </a:t>
            </a:r>
            <a:r>
              <a:rPr lang="en-US" b="1" baseline="0">
                <a:solidFill>
                  <a:srgbClr val="FF0000"/>
                </a:solidFill>
              </a:rPr>
              <a:t> Used  Hashtag  </a:t>
            </a:r>
            <a:endParaRPr lang="en-US" b="1">
              <a:solidFill>
                <a:srgbClr val="FF0000"/>
              </a:solidFill>
            </a:endParaRPr>
          </a:p>
        </c:rich>
      </c:tx>
      <c:layout>
        <c:manualLayout>
          <c:xMode val="edge"/>
          <c:yMode val="edge"/>
          <c:x val="0.34894438690098617"/>
          <c:y val="0.1280784689994941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4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Task4!$B$6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4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Task4!$A$7:$A$12</c:f>
              <c:strCache>
                <c:ptCount val="5"/>
                <c:pt idx="0">
                  <c:v>#FashionDeals</c:v>
                </c:pt>
                <c:pt idx="1">
                  <c:v>#MyntraFashion</c:v>
                </c:pt>
                <c:pt idx="2">
                  <c:v>#MyntraSale</c:v>
                </c:pt>
                <c:pt idx="3">
                  <c:v>#MyntraTrend</c:v>
                </c:pt>
                <c:pt idx="4">
                  <c:v>#StyleWithMyntra</c:v>
                </c:pt>
              </c:strCache>
            </c:strRef>
          </c:cat>
          <c:val>
            <c:numRef>
              <c:f>Task4!$B$7:$B$12</c:f>
              <c:numCache>
                <c:formatCode>General</c:formatCode>
                <c:ptCount val="5"/>
                <c:pt idx="0">
                  <c:v>80</c:v>
                </c:pt>
                <c:pt idx="1">
                  <c:v>83</c:v>
                </c:pt>
                <c:pt idx="2">
                  <c:v>97</c:v>
                </c:pt>
                <c:pt idx="3">
                  <c:v>92</c:v>
                </c:pt>
                <c:pt idx="4">
                  <c:v>104</c:v>
                </c:pt>
              </c:numCache>
            </c:numRef>
          </c:val>
          <c:extLst>
            <c:ext xmlns:c16="http://schemas.microsoft.com/office/drawing/2014/chart" uri="{C3380CC4-5D6E-409C-BE32-E72D297353CC}">
              <c16:uniqueId val="{00000000-523C-48A2-BF1E-B2A39C3380AD}"/>
            </c:ext>
          </c:extLst>
        </c:ser>
        <c:dLbls>
          <c:dLblPos val="outEnd"/>
          <c:showLegendKey val="0"/>
          <c:showVal val="1"/>
          <c:showCatName val="0"/>
          <c:showSerName val="0"/>
          <c:showPercent val="0"/>
          <c:showBubbleSize val="0"/>
        </c:dLbls>
        <c:gapWidth val="219"/>
        <c:overlap val="-27"/>
        <c:axId val="1668222143"/>
        <c:axId val="1668240863"/>
      </c:barChart>
      <c:catAx>
        <c:axId val="16682221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20" b="0" i="0" u="none" strike="noStrike" kern="1200" baseline="0">
                <a:solidFill>
                  <a:srgbClr val="FF0000"/>
                </a:solidFill>
                <a:latin typeface="+mn-lt"/>
                <a:ea typeface="+mn-ea"/>
                <a:cs typeface="+mn-cs"/>
              </a:defRPr>
            </a:pPr>
            <a:endParaRPr lang="en-US"/>
          </a:p>
        </c:txPr>
        <c:crossAx val="1668240863"/>
        <c:crosses val="autoZero"/>
        <c:auto val="1"/>
        <c:lblAlgn val="ctr"/>
        <c:lblOffset val="100"/>
        <c:noMultiLvlLbl val="0"/>
      </c:catAx>
      <c:valAx>
        <c:axId val="166824086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40" b="0" i="0" u="none" strike="noStrike" kern="1200" baseline="0">
                <a:solidFill>
                  <a:schemeClr val="tx1">
                    <a:lumMod val="65000"/>
                    <a:lumOff val="35000"/>
                  </a:schemeClr>
                </a:solidFill>
                <a:latin typeface="+mn-lt"/>
                <a:ea typeface="+mn-ea"/>
                <a:cs typeface="+mn-cs"/>
              </a:defRPr>
            </a:pPr>
            <a:endParaRPr lang="en-US"/>
          </a:p>
        </c:txPr>
        <c:crossAx val="1668222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a:solidFill>
              <a:schemeClr val="accent1"/>
            </a:solidFill>
            <a:round/>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chemeClr val="accent1"/>
            </a:solidFill>
            <a:round/>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Average of Reach</c:v>
          </c:tx>
          <c:spPr>
            <a:solidFill>
              <a:schemeClr val="accent1"/>
            </a:solidFill>
            <a:ln>
              <a:noFill/>
            </a:ln>
            <a:effectLst/>
          </c:spPr>
          <c:invertIfNegative val="0"/>
          <c:cat>
            <c:strLit>
              <c:ptCount val="5"/>
              <c:pt idx="0">
                <c:v>#FashionDeals</c:v>
              </c:pt>
              <c:pt idx="1">
                <c:v>#MyntraFashion</c:v>
              </c:pt>
              <c:pt idx="2">
                <c:v>#MyntraSale</c:v>
              </c:pt>
              <c:pt idx="3">
                <c:v>#MyntraTrend</c:v>
              </c:pt>
              <c:pt idx="4">
                <c:v>#StyleWithMyntra</c:v>
              </c:pt>
            </c:strLit>
          </c:cat>
          <c:val>
            <c:numLit>
              <c:formatCode>General</c:formatCode>
              <c:ptCount val="5"/>
              <c:pt idx="0">
                <c:v>34086.8125</c:v>
              </c:pt>
              <c:pt idx="1">
                <c:v>33520.277108433736</c:v>
              </c:pt>
              <c:pt idx="2">
                <c:v>32666.030927835051</c:v>
              </c:pt>
              <c:pt idx="3">
                <c:v>35209.07608695652</c:v>
              </c:pt>
              <c:pt idx="4">
                <c:v>34492.471153846156</c:v>
              </c:pt>
            </c:numLit>
          </c:val>
          <c:extLst>
            <c:ext xmlns:c16="http://schemas.microsoft.com/office/drawing/2014/chart" uri="{C3380CC4-5D6E-409C-BE32-E72D297353CC}">
              <c16:uniqueId val="{00000000-312D-4490-AA64-C24EA9C241B4}"/>
            </c:ext>
          </c:extLst>
        </c:ser>
        <c:ser>
          <c:idx val="1"/>
          <c:order val="1"/>
          <c:tx>
            <c:v>Average of Clicks</c:v>
          </c:tx>
          <c:spPr>
            <a:solidFill>
              <a:schemeClr val="accent2"/>
            </a:solidFill>
            <a:ln>
              <a:noFill/>
            </a:ln>
            <a:effectLst/>
          </c:spPr>
          <c:invertIfNegative val="0"/>
          <c:cat>
            <c:strLit>
              <c:ptCount val="5"/>
              <c:pt idx="0">
                <c:v>#FashionDeals</c:v>
              </c:pt>
              <c:pt idx="1">
                <c:v>#MyntraFashion</c:v>
              </c:pt>
              <c:pt idx="2">
                <c:v>#MyntraSale</c:v>
              </c:pt>
              <c:pt idx="3">
                <c:v>#MyntraTrend</c:v>
              </c:pt>
              <c:pt idx="4">
                <c:v>#StyleWithMyntra</c:v>
              </c:pt>
            </c:strLit>
          </c:cat>
          <c:val>
            <c:numLit>
              <c:formatCode>General</c:formatCode>
              <c:ptCount val="5"/>
              <c:pt idx="0">
                <c:v>152.57499999999999</c:v>
              </c:pt>
              <c:pt idx="1">
                <c:v>140.96385542168676</c:v>
              </c:pt>
              <c:pt idx="2">
                <c:v>149.70103092783506</c:v>
              </c:pt>
              <c:pt idx="3">
                <c:v>165.27173913043478</c:v>
              </c:pt>
              <c:pt idx="4">
                <c:v>146.16346153846155</c:v>
              </c:pt>
            </c:numLit>
          </c:val>
          <c:extLst>
            <c:ext xmlns:c16="http://schemas.microsoft.com/office/drawing/2014/chart" uri="{C3380CC4-5D6E-409C-BE32-E72D297353CC}">
              <c16:uniqueId val="{00000001-312D-4490-AA64-C24EA9C241B4}"/>
            </c:ext>
          </c:extLst>
        </c:ser>
        <c:dLbls>
          <c:showLegendKey val="0"/>
          <c:showVal val="0"/>
          <c:showCatName val="0"/>
          <c:showSerName val="0"/>
          <c:showPercent val="0"/>
          <c:showBubbleSize val="0"/>
        </c:dLbls>
        <c:gapWidth val="269"/>
        <c:overlap val="-27"/>
        <c:axId val="356551551"/>
        <c:axId val="356540991"/>
      </c:barChart>
      <c:lineChart>
        <c:grouping val="standard"/>
        <c:varyColors val="0"/>
        <c:ser>
          <c:idx val="2"/>
          <c:order val="2"/>
          <c:tx>
            <c:v>Average of Engagement_Rate</c:v>
          </c:tx>
          <c:spPr>
            <a:ln w="38100" cap="rnd">
              <a:solidFill>
                <a:schemeClr val="accent3"/>
              </a:solidFill>
              <a:round/>
            </a:ln>
            <a:effectLst/>
          </c:spPr>
          <c:marker>
            <c:symbol val="circle"/>
            <c:size val="8"/>
            <c:spPr>
              <a:solidFill>
                <a:schemeClr val="accent3"/>
              </a:solidFill>
              <a:ln>
                <a:noFill/>
              </a:ln>
              <a:effectLst/>
            </c:spPr>
          </c:marker>
          <c:cat>
            <c:strLit>
              <c:ptCount val="5"/>
              <c:pt idx="0">
                <c:v>#FashionDeals</c:v>
              </c:pt>
              <c:pt idx="1">
                <c:v>#MyntraFashion</c:v>
              </c:pt>
              <c:pt idx="2">
                <c:v>#MyntraSale</c:v>
              </c:pt>
              <c:pt idx="3">
                <c:v>#MyntraTrend</c:v>
              </c:pt>
              <c:pt idx="4">
                <c:v>#StyleWithMyntra</c:v>
              </c:pt>
            </c:strLit>
          </c:cat>
          <c:val>
            <c:numLit>
              <c:formatCode>General</c:formatCode>
              <c:ptCount val="5"/>
              <c:pt idx="0">
                <c:v>13.661000000000001</c:v>
              </c:pt>
              <c:pt idx="1">
                <c:v>14.54963855421687</c:v>
              </c:pt>
              <c:pt idx="2">
                <c:v>14.917422680412367</c:v>
              </c:pt>
              <c:pt idx="3">
                <c:v>14.353695652173915</c:v>
              </c:pt>
              <c:pt idx="4">
                <c:v>15.618557692307689</c:v>
              </c:pt>
            </c:numLit>
          </c:val>
          <c:smooth val="0"/>
          <c:extLst>
            <c:ext xmlns:c16="http://schemas.microsoft.com/office/drawing/2014/chart" uri="{C3380CC4-5D6E-409C-BE32-E72D297353CC}">
              <c16:uniqueId val="{00000002-312D-4490-AA64-C24EA9C241B4}"/>
            </c:ext>
          </c:extLst>
        </c:ser>
        <c:dLbls>
          <c:showLegendKey val="0"/>
          <c:showVal val="0"/>
          <c:showCatName val="0"/>
          <c:showSerName val="0"/>
          <c:showPercent val="0"/>
          <c:showBubbleSize val="0"/>
        </c:dLbls>
        <c:marker val="1"/>
        <c:smooth val="0"/>
        <c:axId val="296116959"/>
        <c:axId val="296086719"/>
      </c:lineChart>
      <c:catAx>
        <c:axId val="3565515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rgbClr val="FF0000"/>
                </a:solidFill>
                <a:latin typeface="+mn-lt"/>
                <a:ea typeface="+mn-ea"/>
                <a:cs typeface="+mn-cs"/>
              </a:defRPr>
            </a:pPr>
            <a:endParaRPr lang="en-US"/>
          </a:p>
        </c:txPr>
        <c:crossAx val="356540991"/>
        <c:crosses val="autoZero"/>
        <c:auto val="1"/>
        <c:lblAlgn val="ctr"/>
        <c:lblOffset val="100"/>
        <c:noMultiLvlLbl val="0"/>
      </c:catAx>
      <c:valAx>
        <c:axId val="35654099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356551551"/>
        <c:crosses val="autoZero"/>
        <c:crossBetween val="between"/>
      </c:valAx>
      <c:valAx>
        <c:axId val="29608671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296116959"/>
        <c:crosses val="max"/>
        <c:crossBetween val="between"/>
      </c:valAx>
      <c:catAx>
        <c:axId val="296116959"/>
        <c:scaling>
          <c:orientation val="minMax"/>
        </c:scaling>
        <c:delete val="1"/>
        <c:axPos val="b"/>
        <c:numFmt formatCode="General" sourceLinked="1"/>
        <c:majorTickMark val="out"/>
        <c:minorTickMark val="none"/>
        <c:tickLblPos val="nextTo"/>
        <c:crossAx val="296086719"/>
        <c:crosses val="autoZero"/>
        <c:auto val="1"/>
        <c:lblAlgn val="ctr"/>
        <c:lblOffset val="100"/>
        <c:noMultiLvlLbl val="0"/>
      </c:cat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work.xlsx]Task4!PivotTable3</c:name>
    <c:fmtId val="1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ln w="28575" cap="rnd">
            <a:solidFill>
              <a:schemeClr val="accent1"/>
            </a:solidFill>
            <a:round/>
          </a:ln>
          <a:effectLst/>
        </c:spPr>
        <c:marker>
          <c:symbol val="none"/>
        </c:marker>
      </c:pivotFmt>
    </c:pivotFmts>
    <c:plotArea>
      <c:layout/>
      <c:barChart>
        <c:barDir val="col"/>
        <c:grouping val="clustered"/>
        <c:varyColors val="0"/>
        <c:ser>
          <c:idx val="0"/>
          <c:order val="0"/>
          <c:tx>
            <c:strRef>
              <c:f>Task4!$B$72</c:f>
              <c:strCache>
                <c:ptCount val="1"/>
                <c:pt idx="0">
                  <c:v>Average of Engagement_Rate</c:v>
                </c:pt>
              </c:strCache>
            </c:strRef>
          </c:tx>
          <c:spPr>
            <a:solidFill>
              <a:schemeClr val="accent1"/>
            </a:solidFill>
            <a:ln>
              <a:noFill/>
            </a:ln>
            <a:effectLst/>
          </c:spPr>
          <c:invertIfNegative val="0"/>
          <c:cat>
            <c:strRef>
              <c:f>Task4!$A$73:$A$79</c:f>
              <c:strCache>
                <c:ptCount val="6"/>
                <c:pt idx="0">
                  <c:v>Carousel</c:v>
                </c:pt>
                <c:pt idx="1">
                  <c:v>Image</c:v>
                </c:pt>
                <c:pt idx="2">
                  <c:v>Reel</c:v>
                </c:pt>
                <c:pt idx="3">
                  <c:v>Story</c:v>
                </c:pt>
                <c:pt idx="4">
                  <c:v>Text</c:v>
                </c:pt>
                <c:pt idx="5">
                  <c:v>Video</c:v>
                </c:pt>
              </c:strCache>
            </c:strRef>
          </c:cat>
          <c:val>
            <c:numRef>
              <c:f>Task4!$B$73:$B$79</c:f>
              <c:numCache>
                <c:formatCode>General</c:formatCode>
                <c:ptCount val="6"/>
                <c:pt idx="0">
                  <c:v>14.81525423728813</c:v>
                </c:pt>
                <c:pt idx="1">
                  <c:v>13.687460317460323</c:v>
                </c:pt>
                <c:pt idx="2">
                  <c:v>15.615531914893616</c:v>
                </c:pt>
                <c:pt idx="3">
                  <c:v>18.42608695652174</c:v>
                </c:pt>
                <c:pt idx="4">
                  <c:v>11.750714285714285</c:v>
                </c:pt>
                <c:pt idx="5">
                  <c:v>14.815581395348842</c:v>
                </c:pt>
              </c:numCache>
            </c:numRef>
          </c:val>
          <c:extLst>
            <c:ext xmlns:c16="http://schemas.microsoft.com/office/drawing/2014/chart" uri="{C3380CC4-5D6E-409C-BE32-E72D297353CC}">
              <c16:uniqueId val="{00000000-106A-4C8E-88CD-3563AB01F836}"/>
            </c:ext>
          </c:extLst>
        </c:ser>
        <c:ser>
          <c:idx val="1"/>
          <c:order val="1"/>
          <c:tx>
            <c:strRef>
              <c:f>Task4!$C$72</c:f>
              <c:strCache>
                <c:ptCount val="1"/>
                <c:pt idx="0">
                  <c:v>Average of Reach</c:v>
                </c:pt>
              </c:strCache>
            </c:strRef>
          </c:tx>
          <c:spPr>
            <a:solidFill>
              <a:schemeClr val="accent2"/>
            </a:solidFill>
            <a:ln>
              <a:noFill/>
            </a:ln>
            <a:effectLst/>
          </c:spPr>
          <c:invertIfNegative val="0"/>
          <c:cat>
            <c:strRef>
              <c:f>Task4!$A$73:$A$79</c:f>
              <c:strCache>
                <c:ptCount val="6"/>
                <c:pt idx="0">
                  <c:v>Carousel</c:v>
                </c:pt>
                <c:pt idx="1">
                  <c:v>Image</c:v>
                </c:pt>
                <c:pt idx="2">
                  <c:v>Reel</c:v>
                </c:pt>
                <c:pt idx="3">
                  <c:v>Story</c:v>
                </c:pt>
                <c:pt idx="4">
                  <c:v>Text</c:v>
                </c:pt>
                <c:pt idx="5">
                  <c:v>Video</c:v>
                </c:pt>
              </c:strCache>
            </c:strRef>
          </c:cat>
          <c:val>
            <c:numRef>
              <c:f>Task4!$C$73:$C$79</c:f>
              <c:numCache>
                <c:formatCode>General</c:formatCode>
                <c:ptCount val="6"/>
                <c:pt idx="0">
                  <c:v>35335.91525423729</c:v>
                </c:pt>
                <c:pt idx="1">
                  <c:v>35303.238095238092</c:v>
                </c:pt>
                <c:pt idx="2">
                  <c:v>34693.48936170213</c:v>
                </c:pt>
                <c:pt idx="3">
                  <c:v>31639.543478260868</c:v>
                </c:pt>
                <c:pt idx="4">
                  <c:v>34686.214285714283</c:v>
                </c:pt>
                <c:pt idx="5">
                  <c:v>32089.906976744187</c:v>
                </c:pt>
              </c:numCache>
            </c:numRef>
          </c:val>
          <c:extLst>
            <c:ext xmlns:c16="http://schemas.microsoft.com/office/drawing/2014/chart" uri="{C3380CC4-5D6E-409C-BE32-E72D297353CC}">
              <c16:uniqueId val="{00000001-106A-4C8E-88CD-3563AB01F836}"/>
            </c:ext>
          </c:extLst>
        </c:ser>
        <c:dLbls>
          <c:showLegendKey val="0"/>
          <c:showVal val="0"/>
          <c:showCatName val="0"/>
          <c:showSerName val="0"/>
          <c:showPercent val="0"/>
          <c:showBubbleSize val="0"/>
        </c:dLbls>
        <c:gapWidth val="219"/>
        <c:overlap val="-27"/>
        <c:axId val="670799024"/>
        <c:axId val="670787504"/>
      </c:barChart>
      <c:lineChart>
        <c:grouping val="standard"/>
        <c:varyColors val="0"/>
        <c:ser>
          <c:idx val="2"/>
          <c:order val="2"/>
          <c:tx>
            <c:strRef>
              <c:f>Task4!$D$72</c:f>
              <c:strCache>
                <c:ptCount val="1"/>
                <c:pt idx="0">
                  <c:v>Average of Clicks</c:v>
                </c:pt>
              </c:strCache>
            </c:strRef>
          </c:tx>
          <c:spPr>
            <a:ln w="28575" cap="rnd">
              <a:solidFill>
                <a:schemeClr val="accent3"/>
              </a:solidFill>
              <a:round/>
            </a:ln>
            <a:effectLst/>
          </c:spPr>
          <c:marker>
            <c:symbol val="none"/>
          </c:marker>
          <c:cat>
            <c:strRef>
              <c:f>Task4!$A$73:$A$79</c:f>
              <c:strCache>
                <c:ptCount val="6"/>
                <c:pt idx="0">
                  <c:v>Carousel</c:v>
                </c:pt>
                <c:pt idx="1">
                  <c:v>Image</c:v>
                </c:pt>
                <c:pt idx="2">
                  <c:v>Reel</c:v>
                </c:pt>
                <c:pt idx="3">
                  <c:v>Story</c:v>
                </c:pt>
                <c:pt idx="4">
                  <c:v>Text</c:v>
                </c:pt>
                <c:pt idx="5">
                  <c:v>Video</c:v>
                </c:pt>
              </c:strCache>
            </c:strRef>
          </c:cat>
          <c:val>
            <c:numRef>
              <c:f>Task4!$D$73:$D$79</c:f>
              <c:numCache>
                <c:formatCode>General</c:formatCode>
                <c:ptCount val="6"/>
                <c:pt idx="0">
                  <c:v>156.81355932203391</c:v>
                </c:pt>
                <c:pt idx="1">
                  <c:v>163.5873015873016</c:v>
                </c:pt>
                <c:pt idx="2">
                  <c:v>152.65957446808511</c:v>
                </c:pt>
                <c:pt idx="3">
                  <c:v>131.69565217391303</c:v>
                </c:pt>
                <c:pt idx="4">
                  <c:v>163.4047619047619</c:v>
                </c:pt>
                <c:pt idx="5">
                  <c:v>132.83720930232559</c:v>
                </c:pt>
              </c:numCache>
            </c:numRef>
          </c:val>
          <c:smooth val="0"/>
          <c:extLst>
            <c:ext xmlns:c16="http://schemas.microsoft.com/office/drawing/2014/chart" uri="{C3380CC4-5D6E-409C-BE32-E72D297353CC}">
              <c16:uniqueId val="{00000002-106A-4C8E-88CD-3563AB01F836}"/>
            </c:ext>
          </c:extLst>
        </c:ser>
        <c:dLbls>
          <c:showLegendKey val="0"/>
          <c:showVal val="0"/>
          <c:showCatName val="0"/>
          <c:showSerName val="0"/>
          <c:showPercent val="0"/>
          <c:showBubbleSize val="0"/>
        </c:dLbls>
        <c:marker val="1"/>
        <c:smooth val="0"/>
        <c:axId val="670806224"/>
        <c:axId val="670805264"/>
      </c:lineChart>
      <c:catAx>
        <c:axId val="67079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670787504"/>
        <c:crosses val="autoZero"/>
        <c:auto val="1"/>
        <c:lblAlgn val="ctr"/>
        <c:lblOffset val="100"/>
        <c:noMultiLvlLbl val="0"/>
      </c:catAx>
      <c:valAx>
        <c:axId val="67078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670799024"/>
        <c:crosses val="autoZero"/>
        <c:crossBetween val="between"/>
      </c:valAx>
      <c:valAx>
        <c:axId val="67080526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670806224"/>
        <c:crosses val="max"/>
        <c:crossBetween val="between"/>
      </c:valAx>
      <c:catAx>
        <c:axId val="670806224"/>
        <c:scaling>
          <c:orientation val="minMax"/>
        </c:scaling>
        <c:delete val="1"/>
        <c:axPos val="b"/>
        <c:numFmt formatCode="General" sourceLinked="1"/>
        <c:majorTickMark val="out"/>
        <c:minorTickMark val="none"/>
        <c:tickLblPos val="nextTo"/>
        <c:crossAx val="6708052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aseline="0">
          <a:solidFill>
            <a:srgbClr val="FF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work.xlsx]Task6!PivotTable3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FF0000"/>
                </a:solidFill>
              </a:rPr>
              <a:t>Weekly</a:t>
            </a:r>
            <a:r>
              <a:rPr lang="en-US" sz="1600" b="1" baseline="0">
                <a:solidFill>
                  <a:srgbClr val="FF0000"/>
                </a:solidFill>
              </a:rPr>
              <a:t> Followers Growth Rate Per </a:t>
            </a:r>
            <a:r>
              <a:rPr lang="en-US" sz="1800" b="1" baseline="0">
                <a:solidFill>
                  <a:srgbClr val="FF0000"/>
                </a:solidFill>
              </a:rPr>
              <a:t>Platorm</a:t>
            </a:r>
          </a:p>
        </c:rich>
      </c:tx>
      <c:layout>
        <c:manualLayout>
          <c:xMode val="edge"/>
          <c:yMode val="edge"/>
          <c:x val="0.36467047579317485"/>
          <c:y val="8.5483458258158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manualLayout>
          <c:layoutTarget val="inner"/>
          <c:xMode val="edge"/>
          <c:yMode val="edge"/>
          <c:x val="4.1102709843388784E-2"/>
          <c:y val="0.21302113807357717"/>
          <c:w val="0.85213576779723732"/>
          <c:h val="0.6105203055130447"/>
        </c:manualLayout>
      </c:layout>
      <c:lineChart>
        <c:grouping val="stacked"/>
        <c:varyColors val="0"/>
        <c:ser>
          <c:idx val="0"/>
          <c:order val="0"/>
          <c:tx>
            <c:strRef>
              <c:f>Task6!$B$5:$B$6</c:f>
              <c:strCache>
                <c:ptCount val="1"/>
                <c:pt idx="0">
                  <c:v>Facebook</c:v>
                </c:pt>
              </c:strCache>
            </c:strRef>
          </c:tx>
          <c:spPr>
            <a:ln w="28575" cap="rnd">
              <a:solidFill>
                <a:schemeClr val="accent1"/>
              </a:solidFill>
              <a:round/>
            </a:ln>
            <a:effectLst/>
          </c:spPr>
          <c:marker>
            <c:symbol val="none"/>
          </c:marker>
          <c:cat>
            <c:strRef>
              <c:f>Task6!$A$7:$A$57</c:f>
              <c:strCache>
                <c:ptCount val="50"/>
                <c:pt idx="0">
                  <c:v>6/3/2024</c:v>
                </c:pt>
                <c:pt idx="1">
                  <c:v>6/10/2024</c:v>
                </c:pt>
                <c:pt idx="2">
                  <c:v>6/17/2024</c:v>
                </c:pt>
                <c:pt idx="3">
                  <c:v>6/24/2024</c:v>
                </c:pt>
                <c:pt idx="4">
                  <c:v>7/1/2024</c:v>
                </c:pt>
                <c:pt idx="5">
                  <c:v>7/8/2024</c:v>
                </c:pt>
                <c:pt idx="6">
                  <c:v>7/15/2024</c:v>
                </c:pt>
                <c:pt idx="7">
                  <c:v>7/22/2024</c:v>
                </c:pt>
                <c:pt idx="8">
                  <c:v>7/29/2024</c:v>
                </c:pt>
                <c:pt idx="9">
                  <c:v>8/5/2024</c:v>
                </c:pt>
                <c:pt idx="10">
                  <c:v>8/12/2024</c:v>
                </c:pt>
                <c:pt idx="11">
                  <c:v>8/19/2024</c:v>
                </c:pt>
                <c:pt idx="12">
                  <c:v>8/26/2024</c:v>
                </c:pt>
                <c:pt idx="13">
                  <c:v>9/2/2024</c:v>
                </c:pt>
                <c:pt idx="14">
                  <c:v>9/9/2024</c:v>
                </c:pt>
                <c:pt idx="15">
                  <c:v>9/16/2024</c:v>
                </c:pt>
                <c:pt idx="16">
                  <c:v>9/23/2024</c:v>
                </c:pt>
                <c:pt idx="17">
                  <c:v>9/30/2024</c:v>
                </c:pt>
                <c:pt idx="18">
                  <c:v>10/7/2024</c:v>
                </c:pt>
                <c:pt idx="19">
                  <c:v>10/14/2024</c:v>
                </c:pt>
                <c:pt idx="20">
                  <c:v>10/21/2024</c:v>
                </c:pt>
                <c:pt idx="21">
                  <c:v>10/28/2024</c:v>
                </c:pt>
                <c:pt idx="22">
                  <c:v>11/4/2024</c:v>
                </c:pt>
                <c:pt idx="23">
                  <c:v>11/11/2024</c:v>
                </c:pt>
                <c:pt idx="24">
                  <c:v>11/18/2024</c:v>
                </c:pt>
                <c:pt idx="25">
                  <c:v>11/25/2024</c:v>
                </c:pt>
                <c:pt idx="26">
                  <c:v>12/2/2024</c:v>
                </c:pt>
                <c:pt idx="27">
                  <c:v>12/9/2024</c:v>
                </c:pt>
                <c:pt idx="28">
                  <c:v>12/16/2024</c:v>
                </c:pt>
                <c:pt idx="29">
                  <c:v>12/23/2024</c:v>
                </c:pt>
                <c:pt idx="30">
                  <c:v>12/30/2024</c:v>
                </c:pt>
                <c:pt idx="31">
                  <c:v>1/6/2025</c:v>
                </c:pt>
                <c:pt idx="32">
                  <c:v>1/13/2025</c:v>
                </c:pt>
                <c:pt idx="33">
                  <c:v>1/20/2025</c:v>
                </c:pt>
                <c:pt idx="34">
                  <c:v>1/27/2025</c:v>
                </c:pt>
                <c:pt idx="35">
                  <c:v>2/3/2025</c:v>
                </c:pt>
                <c:pt idx="36">
                  <c:v>2/10/2025</c:v>
                </c:pt>
                <c:pt idx="37">
                  <c:v>2/17/2025</c:v>
                </c:pt>
                <c:pt idx="38">
                  <c:v>2/24/2025</c:v>
                </c:pt>
                <c:pt idx="39">
                  <c:v>3/3/2025</c:v>
                </c:pt>
                <c:pt idx="40">
                  <c:v>3/10/2025</c:v>
                </c:pt>
                <c:pt idx="41">
                  <c:v>3/17/2025</c:v>
                </c:pt>
                <c:pt idx="42">
                  <c:v>3/24/2025</c:v>
                </c:pt>
                <c:pt idx="43">
                  <c:v>3/31/2025</c:v>
                </c:pt>
                <c:pt idx="44">
                  <c:v>4/7/2025</c:v>
                </c:pt>
                <c:pt idx="45">
                  <c:v>4/14/2025</c:v>
                </c:pt>
                <c:pt idx="46">
                  <c:v>4/21/2025</c:v>
                </c:pt>
                <c:pt idx="47">
                  <c:v>4/28/2025</c:v>
                </c:pt>
                <c:pt idx="48">
                  <c:v>5/5/2025</c:v>
                </c:pt>
                <c:pt idx="49">
                  <c:v>5/12/2025</c:v>
                </c:pt>
              </c:strCache>
            </c:strRef>
          </c:cat>
          <c:val>
            <c:numRef>
              <c:f>Task6!$B$7:$B$57</c:f>
              <c:numCache>
                <c:formatCode>0.00</c:formatCode>
                <c:ptCount val="50"/>
                <c:pt idx="0">
                  <c:v>2.3491348994232664</c:v>
                </c:pt>
                <c:pt idx="1">
                  <c:v>0.40530081660374973</c:v>
                </c:pt>
                <c:pt idx="2">
                  <c:v>0.8153584745362723</c:v>
                </c:pt>
                <c:pt idx="3">
                  <c:v>6.3510173036698996</c:v>
                </c:pt>
                <c:pt idx="4">
                  <c:v>2.9088264703208796E-2</c:v>
                </c:pt>
                <c:pt idx="5">
                  <c:v>0.12276812319721568</c:v>
                </c:pt>
                <c:pt idx="6">
                  <c:v>-4.9009939454794309E-2</c:v>
                </c:pt>
                <c:pt idx="7">
                  <c:v>0.32572737872501967</c:v>
                </c:pt>
                <c:pt idx="8">
                  <c:v>-7.309773488968678E-2</c:v>
                </c:pt>
                <c:pt idx="9">
                  <c:v>-0.15755714445670779</c:v>
                </c:pt>
                <c:pt idx="10">
                  <c:v>0.43366318609156984</c:v>
                </c:pt>
                <c:pt idx="11">
                  <c:v>0.57523759813836151</c:v>
                </c:pt>
                <c:pt idx="12">
                  <c:v>9.7527544941747053E-3</c:v>
                </c:pt>
                <c:pt idx="13">
                  <c:v>0.21026918479944948</c:v>
                </c:pt>
                <c:pt idx="14">
                  <c:v>0.46435400163889645</c:v>
                </c:pt>
                <c:pt idx="15">
                  <c:v>2.0668041724136478E-2</c:v>
                </c:pt>
                <c:pt idx="16">
                  <c:v>-7.924822629956663E-3</c:v>
                </c:pt>
                <c:pt idx="17">
                  <c:v>-3.9477485703195474E-2</c:v>
                </c:pt>
                <c:pt idx="18">
                  <c:v>0.43810281972675247</c:v>
                </c:pt>
                <c:pt idx="19">
                  <c:v>0.18083871090552606</c:v>
                </c:pt>
                <c:pt idx="20">
                  <c:v>1.8687212668142346</c:v>
                </c:pt>
                <c:pt idx="21">
                  <c:v>0.18382090319876945</c:v>
                </c:pt>
                <c:pt idx="22">
                  <c:v>0.16918035252172714</c:v>
                </c:pt>
                <c:pt idx="23">
                  <c:v>-3.4250669665215859E-2</c:v>
                </c:pt>
                <c:pt idx="24">
                  <c:v>2.124852809675163E-2</c:v>
                </c:pt>
                <c:pt idx="25">
                  <c:v>0.39565022381564841</c:v>
                </c:pt>
                <c:pt idx="26">
                  <c:v>0.36277109484146308</c:v>
                </c:pt>
                <c:pt idx="27">
                  <c:v>3.8307014117515763</c:v>
                </c:pt>
                <c:pt idx="28">
                  <c:v>0.33115688467227011</c:v>
                </c:pt>
                <c:pt idx="29">
                  <c:v>0.78202834584935776</c:v>
                </c:pt>
                <c:pt idx="30">
                  <c:v>0.46806929323118035</c:v>
                </c:pt>
                <c:pt idx="31">
                  <c:v>0.64766839378238339</c:v>
                </c:pt>
                <c:pt idx="32">
                  <c:v>0.13262186302564766</c:v>
                </c:pt>
                <c:pt idx="33">
                  <c:v>8.905295209493419E-2</c:v>
                </c:pt>
                <c:pt idx="34">
                  <c:v>0.27948348464241363</c:v>
                </c:pt>
                <c:pt idx="35">
                  <c:v>0.5500525785553031</c:v>
                </c:pt>
                <c:pt idx="36">
                  <c:v>0.29427518601934727</c:v>
                </c:pt>
                <c:pt idx="37">
                  <c:v>1.5147617822744293</c:v>
                </c:pt>
                <c:pt idx="38">
                  <c:v>0.74073109768798173</c:v>
                </c:pt>
                <c:pt idx="39">
                  <c:v>-3.2435585380545737E-2</c:v>
                </c:pt>
                <c:pt idx="40">
                  <c:v>0.26639909400836753</c:v>
                </c:pt>
                <c:pt idx="41">
                  <c:v>0.32619275185675578</c:v>
                </c:pt>
                <c:pt idx="42">
                  <c:v>0.1268716241173857</c:v>
                </c:pt>
                <c:pt idx="43">
                  <c:v>0.13889264193260734</c:v>
                </c:pt>
                <c:pt idx="44">
                  <c:v>1.0436528865268369</c:v>
                </c:pt>
                <c:pt idx="45">
                  <c:v>-0.24750024750024749</c:v>
                </c:pt>
                <c:pt idx="46">
                  <c:v>0.27690774864725926</c:v>
                </c:pt>
                <c:pt idx="47">
                  <c:v>0.2014855668727483</c:v>
                </c:pt>
                <c:pt idx="48">
                  <c:v>8.0965664826031306E-2</c:v>
                </c:pt>
                <c:pt idx="49">
                  <c:v>0.11156186612576065</c:v>
                </c:pt>
              </c:numCache>
            </c:numRef>
          </c:val>
          <c:smooth val="0"/>
          <c:extLst>
            <c:ext xmlns:c16="http://schemas.microsoft.com/office/drawing/2014/chart" uri="{C3380CC4-5D6E-409C-BE32-E72D297353CC}">
              <c16:uniqueId val="{00000000-FD3F-4023-8760-9E0F5BBF8D9A}"/>
            </c:ext>
          </c:extLst>
        </c:ser>
        <c:ser>
          <c:idx val="1"/>
          <c:order val="1"/>
          <c:tx>
            <c:strRef>
              <c:f>Task6!$C$5:$C$6</c:f>
              <c:strCache>
                <c:ptCount val="1"/>
                <c:pt idx="0">
                  <c:v>Instagram</c:v>
                </c:pt>
              </c:strCache>
            </c:strRef>
          </c:tx>
          <c:spPr>
            <a:ln w="28575" cap="rnd">
              <a:solidFill>
                <a:schemeClr val="accent2"/>
              </a:solidFill>
              <a:round/>
            </a:ln>
            <a:effectLst/>
          </c:spPr>
          <c:marker>
            <c:symbol val="none"/>
          </c:marker>
          <c:cat>
            <c:strRef>
              <c:f>Task6!$A$7:$A$57</c:f>
              <c:strCache>
                <c:ptCount val="50"/>
                <c:pt idx="0">
                  <c:v>6/3/2024</c:v>
                </c:pt>
                <c:pt idx="1">
                  <c:v>6/10/2024</c:v>
                </c:pt>
                <c:pt idx="2">
                  <c:v>6/17/2024</c:v>
                </c:pt>
                <c:pt idx="3">
                  <c:v>6/24/2024</c:v>
                </c:pt>
                <c:pt idx="4">
                  <c:v>7/1/2024</c:v>
                </c:pt>
                <c:pt idx="5">
                  <c:v>7/8/2024</c:v>
                </c:pt>
                <c:pt idx="6">
                  <c:v>7/15/2024</c:v>
                </c:pt>
                <c:pt idx="7">
                  <c:v>7/22/2024</c:v>
                </c:pt>
                <c:pt idx="8">
                  <c:v>7/29/2024</c:v>
                </c:pt>
                <c:pt idx="9">
                  <c:v>8/5/2024</c:v>
                </c:pt>
                <c:pt idx="10">
                  <c:v>8/12/2024</c:v>
                </c:pt>
                <c:pt idx="11">
                  <c:v>8/19/2024</c:v>
                </c:pt>
                <c:pt idx="12">
                  <c:v>8/26/2024</c:v>
                </c:pt>
                <c:pt idx="13">
                  <c:v>9/2/2024</c:v>
                </c:pt>
                <c:pt idx="14">
                  <c:v>9/9/2024</c:v>
                </c:pt>
                <c:pt idx="15">
                  <c:v>9/16/2024</c:v>
                </c:pt>
                <c:pt idx="16">
                  <c:v>9/23/2024</c:v>
                </c:pt>
                <c:pt idx="17">
                  <c:v>9/30/2024</c:v>
                </c:pt>
                <c:pt idx="18">
                  <c:v>10/7/2024</c:v>
                </c:pt>
                <c:pt idx="19">
                  <c:v>10/14/2024</c:v>
                </c:pt>
                <c:pt idx="20">
                  <c:v>10/21/2024</c:v>
                </c:pt>
                <c:pt idx="21">
                  <c:v>10/28/2024</c:v>
                </c:pt>
                <c:pt idx="22">
                  <c:v>11/4/2024</c:v>
                </c:pt>
                <c:pt idx="23">
                  <c:v>11/11/2024</c:v>
                </c:pt>
                <c:pt idx="24">
                  <c:v>11/18/2024</c:v>
                </c:pt>
                <c:pt idx="25">
                  <c:v>11/25/2024</c:v>
                </c:pt>
                <c:pt idx="26">
                  <c:v>12/2/2024</c:v>
                </c:pt>
                <c:pt idx="27">
                  <c:v>12/9/2024</c:v>
                </c:pt>
                <c:pt idx="28">
                  <c:v>12/16/2024</c:v>
                </c:pt>
                <c:pt idx="29">
                  <c:v>12/23/2024</c:v>
                </c:pt>
                <c:pt idx="30">
                  <c:v>12/30/2024</c:v>
                </c:pt>
                <c:pt idx="31">
                  <c:v>1/6/2025</c:v>
                </c:pt>
                <c:pt idx="32">
                  <c:v>1/13/2025</c:v>
                </c:pt>
                <c:pt idx="33">
                  <c:v>1/20/2025</c:v>
                </c:pt>
                <c:pt idx="34">
                  <c:v>1/27/2025</c:v>
                </c:pt>
                <c:pt idx="35">
                  <c:v>2/3/2025</c:v>
                </c:pt>
                <c:pt idx="36">
                  <c:v>2/10/2025</c:v>
                </c:pt>
                <c:pt idx="37">
                  <c:v>2/17/2025</c:v>
                </c:pt>
                <c:pt idx="38">
                  <c:v>2/24/2025</c:v>
                </c:pt>
                <c:pt idx="39">
                  <c:v>3/3/2025</c:v>
                </c:pt>
                <c:pt idx="40">
                  <c:v>3/10/2025</c:v>
                </c:pt>
                <c:pt idx="41">
                  <c:v>3/17/2025</c:v>
                </c:pt>
                <c:pt idx="42">
                  <c:v>3/24/2025</c:v>
                </c:pt>
                <c:pt idx="43">
                  <c:v>3/31/2025</c:v>
                </c:pt>
                <c:pt idx="44">
                  <c:v>4/7/2025</c:v>
                </c:pt>
                <c:pt idx="45">
                  <c:v>4/14/2025</c:v>
                </c:pt>
                <c:pt idx="46">
                  <c:v>4/21/2025</c:v>
                </c:pt>
                <c:pt idx="47">
                  <c:v>4/28/2025</c:v>
                </c:pt>
                <c:pt idx="48">
                  <c:v>5/5/2025</c:v>
                </c:pt>
                <c:pt idx="49">
                  <c:v>5/12/2025</c:v>
                </c:pt>
              </c:strCache>
            </c:strRef>
          </c:cat>
          <c:val>
            <c:numRef>
              <c:f>Task6!$C$7:$C$57</c:f>
              <c:numCache>
                <c:formatCode>0.00</c:formatCode>
                <c:ptCount val="50"/>
                <c:pt idx="0">
                  <c:v>0.30428616268120573</c:v>
                </c:pt>
                <c:pt idx="1">
                  <c:v>1.0517322049758935</c:v>
                </c:pt>
                <c:pt idx="2">
                  <c:v>0.19542790614208244</c:v>
                </c:pt>
                <c:pt idx="3">
                  <c:v>1.7636832660385824</c:v>
                </c:pt>
                <c:pt idx="4">
                  <c:v>-5.2211602419375981E-2</c:v>
                </c:pt>
                <c:pt idx="5">
                  <c:v>2.8717173625543171</c:v>
                </c:pt>
                <c:pt idx="6">
                  <c:v>1.1967386439556591</c:v>
                </c:pt>
                <c:pt idx="7">
                  <c:v>3.3557613568250697E-2</c:v>
                </c:pt>
                <c:pt idx="8">
                  <c:v>2.2861730899256254</c:v>
                </c:pt>
                <c:pt idx="9">
                  <c:v>8.0371168669857163E-2</c:v>
                </c:pt>
                <c:pt idx="10">
                  <c:v>0.27085701202809553</c:v>
                </c:pt>
                <c:pt idx="11">
                  <c:v>2.335271198731579E-2</c:v>
                </c:pt>
                <c:pt idx="12">
                  <c:v>0.35456226214689768</c:v>
                </c:pt>
                <c:pt idx="13">
                  <c:v>1.2306082974775983</c:v>
                </c:pt>
                <c:pt idx="14">
                  <c:v>0.41581361392816901</c:v>
                </c:pt>
                <c:pt idx="15">
                  <c:v>0.74222825979957874</c:v>
                </c:pt>
                <c:pt idx="16">
                  <c:v>0.15758651286601597</c:v>
                </c:pt>
                <c:pt idx="17">
                  <c:v>0.27682576721248608</c:v>
                </c:pt>
                <c:pt idx="18">
                  <c:v>1.000090820213374</c:v>
                </c:pt>
                <c:pt idx="19">
                  <c:v>0.31501331857780751</c:v>
                </c:pt>
                <c:pt idx="20">
                  <c:v>7.3371064356504964E-2</c:v>
                </c:pt>
                <c:pt idx="21">
                  <c:v>0.166223212379012</c:v>
                </c:pt>
                <c:pt idx="22">
                  <c:v>2.5430053699827071</c:v>
                </c:pt>
                <c:pt idx="23">
                  <c:v>1.7550345364335054</c:v>
                </c:pt>
                <c:pt idx="24">
                  <c:v>-9.5914811987394058E-2</c:v>
                </c:pt>
                <c:pt idx="25">
                  <c:v>0.59936417126309005</c:v>
                </c:pt>
                <c:pt idx="26">
                  <c:v>0.38511033114748661</c:v>
                </c:pt>
                <c:pt idx="27">
                  <c:v>0.5072161583928636</c:v>
                </c:pt>
                <c:pt idx="28">
                  <c:v>0.30759118725472717</c:v>
                </c:pt>
                <c:pt idx="29">
                  <c:v>0.24359408109118752</c:v>
                </c:pt>
                <c:pt idx="30">
                  <c:v>1.2535155251271271</c:v>
                </c:pt>
                <c:pt idx="31">
                  <c:v>0.19361810704529764</c:v>
                </c:pt>
                <c:pt idx="32">
                  <c:v>0.49282654051223052</c:v>
                </c:pt>
                <c:pt idx="33">
                  <c:v>0.40971536250166152</c:v>
                </c:pt>
                <c:pt idx="34">
                  <c:v>-4.6464109274628081E-2</c:v>
                </c:pt>
                <c:pt idx="35">
                  <c:v>0.30720567989168157</c:v>
                </c:pt>
                <c:pt idx="36">
                  <c:v>0.77568587198256844</c:v>
                </c:pt>
                <c:pt idx="37">
                  <c:v>0.21291007252180397</c:v>
                </c:pt>
                <c:pt idx="38">
                  <c:v>1.08675033985647</c:v>
                </c:pt>
                <c:pt idx="39">
                  <c:v>0.51052298518124528</c:v>
                </c:pt>
                <c:pt idx="40">
                  <c:v>4.5873346287504703E-2</c:v>
                </c:pt>
                <c:pt idx="41">
                  <c:v>0.16572027392586453</c:v>
                </c:pt>
                <c:pt idx="42">
                  <c:v>0.12636715002329982</c:v>
                </c:pt>
                <c:pt idx="43">
                  <c:v>0.22667798288422092</c:v>
                </c:pt>
                <c:pt idx="44">
                  <c:v>0.21195852212872357</c:v>
                </c:pt>
                <c:pt idx="45">
                  <c:v>-0.2399448126930806</c:v>
                </c:pt>
                <c:pt idx="46">
                  <c:v>0.95802484827301337</c:v>
                </c:pt>
                <c:pt idx="47">
                  <c:v>0.34511059684624079</c:v>
                </c:pt>
                <c:pt idx="48">
                  <c:v>0.41995793722733987</c:v>
                </c:pt>
                <c:pt idx="49">
                  <c:v>0.35361871958419905</c:v>
                </c:pt>
              </c:numCache>
            </c:numRef>
          </c:val>
          <c:smooth val="0"/>
          <c:extLst>
            <c:ext xmlns:c16="http://schemas.microsoft.com/office/drawing/2014/chart" uri="{C3380CC4-5D6E-409C-BE32-E72D297353CC}">
              <c16:uniqueId val="{00000000-F353-4095-A3C4-ABB1FCD5A363}"/>
            </c:ext>
          </c:extLst>
        </c:ser>
        <c:ser>
          <c:idx val="2"/>
          <c:order val="2"/>
          <c:tx>
            <c:strRef>
              <c:f>Task6!$D$5:$D$6</c:f>
              <c:strCache>
                <c:ptCount val="1"/>
                <c:pt idx="0">
                  <c:v>Twitter</c:v>
                </c:pt>
              </c:strCache>
            </c:strRef>
          </c:tx>
          <c:spPr>
            <a:ln w="28575" cap="rnd">
              <a:solidFill>
                <a:schemeClr val="accent3"/>
              </a:solidFill>
              <a:round/>
            </a:ln>
            <a:effectLst/>
          </c:spPr>
          <c:marker>
            <c:symbol val="none"/>
          </c:marker>
          <c:cat>
            <c:strRef>
              <c:f>Task6!$A$7:$A$57</c:f>
              <c:strCache>
                <c:ptCount val="50"/>
                <c:pt idx="0">
                  <c:v>6/3/2024</c:v>
                </c:pt>
                <c:pt idx="1">
                  <c:v>6/10/2024</c:v>
                </c:pt>
                <c:pt idx="2">
                  <c:v>6/17/2024</c:v>
                </c:pt>
                <c:pt idx="3">
                  <c:v>6/24/2024</c:v>
                </c:pt>
                <c:pt idx="4">
                  <c:v>7/1/2024</c:v>
                </c:pt>
                <c:pt idx="5">
                  <c:v>7/8/2024</c:v>
                </c:pt>
                <c:pt idx="6">
                  <c:v>7/15/2024</c:v>
                </c:pt>
                <c:pt idx="7">
                  <c:v>7/22/2024</c:v>
                </c:pt>
                <c:pt idx="8">
                  <c:v>7/29/2024</c:v>
                </c:pt>
                <c:pt idx="9">
                  <c:v>8/5/2024</c:v>
                </c:pt>
                <c:pt idx="10">
                  <c:v>8/12/2024</c:v>
                </c:pt>
                <c:pt idx="11">
                  <c:v>8/19/2024</c:v>
                </c:pt>
                <c:pt idx="12">
                  <c:v>8/26/2024</c:v>
                </c:pt>
                <c:pt idx="13">
                  <c:v>9/2/2024</c:v>
                </c:pt>
                <c:pt idx="14">
                  <c:v>9/9/2024</c:v>
                </c:pt>
                <c:pt idx="15">
                  <c:v>9/16/2024</c:v>
                </c:pt>
                <c:pt idx="16">
                  <c:v>9/23/2024</c:v>
                </c:pt>
                <c:pt idx="17">
                  <c:v>9/30/2024</c:v>
                </c:pt>
                <c:pt idx="18">
                  <c:v>10/7/2024</c:v>
                </c:pt>
                <c:pt idx="19">
                  <c:v>10/14/2024</c:v>
                </c:pt>
                <c:pt idx="20">
                  <c:v>10/21/2024</c:v>
                </c:pt>
                <c:pt idx="21">
                  <c:v>10/28/2024</c:v>
                </c:pt>
                <c:pt idx="22">
                  <c:v>11/4/2024</c:v>
                </c:pt>
                <c:pt idx="23">
                  <c:v>11/11/2024</c:v>
                </c:pt>
                <c:pt idx="24">
                  <c:v>11/18/2024</c:v>
                </c:pt>
                <c:pt idx="25">
                  <c:v>11/25/2024</c:v>
                </c:pt>
                <c:pt idx="26">
                  <c:v>12/2/2024</c:v>
                </c:pt>
                <c:pt idx="27">
                  <c:v>12/9/2024</c:v>
                </c:pt>
                <c:pt idx="28">
                  <c:v>12/16/2024</c:v>
                </c:pt>
                <c:pt idx="29">
                  <c:v>12/23/2024</c:v>
                </c:pt>
                <c:pt idx="30">
                  <c:v>12/30/2024</c:v>
                </c:pt>
                <c:pt idx="31">
                  <c:v>1/6/2025</c:v>
                </c:pt>
                <c:pt idx="32">
                  <c:v>1/13/2025</c:v>
                </c:pt>
                <c:pt idx="33">
                  <c:v>1/20/2025</c:v>
                </c:pt>
                <c:pt idx="34">
                  <c:v>1/27/2025</c:v>
                </c:pt>
                <c:pt idx="35">
                  <c:v>2/3/2025</c:v>
                </c:pt>
                <c:pt idx="36">
                  <c:v>2/10/2025</c:v>
                </c:pt>
                <c:pt idx="37">
                  <c:v>2/17/2025</c:v>
                </c:pt>
                <c:pt idx="38">
                  <c:v>2/24/2025</c:v>
                </c:pt>
                <c:pt idx="39">
                  <c:v>3/3/2025</c:v>
                </c:pt>
                <c:pt idx="40">
                  <c:v>3/10/2025</c:v>
                </c:pt>
                <c:pt idx="41">
                  <c:v>3/17/2025</c:v>
                </c:pt>
                <c:pt idx="42">
                  <c:v>3/24/2025</c:v>
                </c:pt>
                <c:pt idx="43">
                  <c:v>3/31/2025</c:v>
                </c:pt>
                <c:pt idx="44">
                  <c:v>4/7/2025</c:v>
                </c:pt>
                <c:pt idx="45">
                  <c:v>4/14/2025</c:v>
                </c:pt>
                <c:pt idx="46">
                  <c:v>4/21/2025</c:v>
                </c:pt>
                <c:pt idx="47">
                  <c:v>4/28/2025</c:v>
                </c:pt>
                <c:pt idx="48">
                  <c:v>5/5/2025</c:v>
                </c:pt>
                <c:pt idx="49">
                  <c:v>5/12/2025</c:v>
                </c:pt>
              </c:strCache>
            </c:strRef>
          </c:cat>
          <c:val>
            <c:numRef>
              <c:f>Task6!$D$7:$D$57</c:f>
              <c:numCache>
                <c:formatCode>0.00</c:formatCode>
                <c:ptCount val="50"/>
                <c:pt idx="0">
                  <c:v>0.28263208793603661</c:v>
                </c:pt>
                <c:pt idx="1">
                  <c:v>7.3128442639386351E-2</c:v>
                </c:pt>
                <c:pt idx="2">
                  <c:v>1.0551445425805821</c:v>
                </c:pt>
                <c:pt idx="3">
                  <c:v>0.27980604582117208</c:v>
                </c:pt>
                <c:pt idx="4">
                  <c:v>0.4303769366169265</c:v>
                </c:pt>
                <c:pt idx="5">
                  <c:v>0.140324773607655</c:v>
                </c:pt>
                <c:pt idx="6">
                  <c:v>0.18982132901478749</c:v>
                </c:pt>
                <c:pt idx="7">
                  <c:v>0.66371458255580551</c:v>
                </c:pt>
                <c:pt idx="8">
                  <c:v>0.51986619096302167</c:v>
                </c:pt>
                <c:pt idx="9">
                  <c:v>7.2889860753698937E-2</c:v>
                </c:pt>
                <c:pt idx="10">
                  <c:v>8.5080354946042956E-3</c:v>
                </c:pt>
                <c:pt idx="11">
                  <c:v>0.88256340939810773</c:v>
                </c:pt>
                <c:pt idx="12">
                  <c:v>0.65914381026955704</c:v>
                </c:pt>
                <c:pt idx="13">
                  <c:v>6.1798299135137513E-2</c:v>
                </c:pt>
                <c:pt idx="14">
                  <c:v>5.990134708914012E-2</c:v>
                </c:pt>
                <c:pt idx="15">
                  <c:v>0.2867301296020186</c:v>
                </c:pt>
                <c:pt idx="16">
                  <c:v>0.62566104068286432</c:v>
                </c:pt>
                <c:pt idx="17">
                  <c:v>0.92287307798970819</c:v>
                </c:pt>
                <c:pt idx="18">
                  <c:v>2.2456063766826309E-2</c:v>
                </c:pt>
                <c:pt idx="19">
                  <c:v>-6.4563614529395824E-3</c:v>
                </c:pt>
                <c:pt idx="20">
                  <c:v>0.24623771231227276</c:v>
                </c:pt>
                <c:pt idx="21">
                  <c:v>1.5381417584701726E-2</c:v>
                </c:pt>
                <c:pt idx="22">
                  <c:v>0.36508153411678962</c:v>
                </c:pt>
                <c:pt idx="23">
                  <c:v>1.3172212358971422</c:v>
                </c:pt>
                <c:pt idx="24">
                  <c:v>9.1277744844858608E-2</c:v>
                </c:pt>
                <c:pt idx="25">
                  <c:v>0.11079079758069074</c:v>
                </c:pt>
                <c:pt idx="26">
                  <c:v>0.37850431101244258</c:v>
                </c:pt>
                <c:pt idx="27">
                  <c:v>8.3806473528412688</c:v>
                </c:pt>
                <c:pt idx="28">
                  <c:v>0.41536387893013998</c:v>
                </c:pt>
                <c:pt idx="29">
                  <c:v>1.123041457611657</c:v>
                </c:pt>
                <c:pt idx="30">
                  <c:v>0.55634189738421069</c:v>
                </c:pt>
                <c:pt idx="31">
                  <c:v>0.32008104408927779</c:v>
                </c:pt>
                <c:pt idx="32">
                  <c:v>-2.9514486693885584E-2</c:v>
                </c:pt>
                <c:pt idx="33">
                  <c:v>0.71621491270377158</c:v>
                </c:pt>
                <c:pt idx="34">
                  <c:v>0.54309533874905258</c:v>
                </c:pt>
                <c:pt idx="35">
                  <c:v>0.32046588643454949</c:v>
                </c:pt>
                <c:pt idx="36">
                  <c:v>0.94958208908059605</c:v>
                </c:pt>
                <c:pt idx="37">
                  <c:v>-2.5410691720235155E-2</c:v>
                </c:pt>
                <c:pt idx="38">
                  <c:v>0.22333891680625351</c:v>
                </c:pt>
                <c:pt idx="39">
                  <c:v>0.19268070513850935</c:v>
                </c:pt>
                <c:pt idx="40">
                  <c:v>10.825114265095021</c:v>
                </c:pt>
                <c:pt idx="41">
                  <c:v>6.9173294769824052</c:v>
                </c:pt>
                <c:pt idx="42">
                  <c:v>0.13832962243592781</c:v>
                </c:pt>
                <c:pt idx="43">
                  <c:v>0.84497101083942527</c:v>
                </c:pt>
                <c:pt idx="44">
                  <c:v>3.4032917638311533</c:v>
                </c:pt>
                <c:pt idx="45">
                  <c:v>3.7191155522184875E-2</c:v>
                </c:pt>
                <c:pt idx="46">
                  <c:v>0.22734693021737243</c:v>
                </c:pt>
                <c:pt idx="47">
                  <c:v>0.19454574184929271</c:v>
                </c:pt>
                <c:pt idx="48">
                  <c:v>0.311749015203442</c:v>
                </c:pt>
                <c:pt idx="49">
                  <c:v>5.8952701962314107E-2</c:v>
                </c:pt>
              </c:numCache>
            </c:numRef>
          </c:val>
          <c:smooth val="0"/>
          <c:extLst>
            <c:ext xmlns:c16="http://schemas.microsoft.com/office/drawing/2014/chart" uri="{C3380CC4-5D6E-409C-BE32-E72D297353CC}">
              <c16:uniqueId val="{00000001-F353-4095-A3C4-ABB1FCD5A363}"/>
            </c:ext>
          </c:extLst>
        </c:ser>
        <c:ser>
          <c:idx val="3"/>
          <c:order val="3"/>
          <c:tx>
            <c:strRef>
              <c:f>Task6!$E$5:$E$6</c:f>
              <c:strCache>
                <c:ptCount val="1"/>
                <c:pt idx="0">
                  <c:v>YouTube</c:v>
                </c:pt>
              </c:strCache>
            </c:strRef>
          </c:tx>
          <c:spPr>
            <a:ln w="28575" cap="rnd">
              <a:solidFill>
                <a:schemeClr val="accent4"/>
              </a:solidFill>
              <a:round/>
            </a:ln>
            <a:effectLst/>
          </c:spPr>
          <c:marker>
            <c:symbol val="none"/>
          </c:marker>
          <c:cat>
            <c:strRef>
              <c:f>Task6!$A$7:$A$57</c:f>
              <c:strCache>
                <c:ptCount val="50"/>
                <c:pt idx="0">
                  <c:v>6/3/2024</c:v>
                </c:pt>
                <c:pt idx="1">
                  <c:v>6/10/2024</c:v>
                </c:pt>
                <c:pt idx="2">
                  <c:v>6/17/2024</c:v>
                </c:pt>
                <c:pt idx="3">
                  <c:v>6/24/2024</c:v>
                </c:pt>
                <c:pt idx="4">
                  <c:v>7/1/2024</c:v>
                </c:pt>
                <c:pt idx="5">
                  <c:v>7/8/2024</c:v>
                </c:pt>
                <c:pt idx="6">
                  <c:v>7/15/2024</c:v>
                </c:pt>
                <c:pt idx="7">
                  <c:v>7/22/2024</c:v>
                </c:pt>
                <c:pt idx="8">
                  <c:v>7/29/2024</c:v>
                </c:pt>
                <c:pt idx="9">
                  <c:v>8/5/2024</c:v>
                </c:pt>
                <c:pt idx="10">
                  <c:v>8/12/2024</c:v>
                </c:pt>
                <c:pt idx="11">
                  <c:v>8/19/2024</c:v>
                </c:pt>
                <c:pt idx="12">
                  <c:v>8/26/2024</c:v>
                </c:pt>
                <c:pt idx="13">
                  <c:v>9/2/2024</c:v>
                </c:pt>
                <c:pt idx="14">
                  <c:v>9/9/2024</c:v>
                </c:pt>
                <c:pt idx="15">
                  <c:v>9/16/2024</c:v>
                </c:pt>
                <c:pt idx="16">
                  <c:v>9/23/2024</c:v>
                </c:pt>
                <c:pt idx="17">
                  <c:v>9/30/2024</c:v>
                </c:pt>
                <c:pt idx="18">
                  <c:v>10/7/2024</c:v>
                </c:pt>
                <c:pt idx="19">
                  <c:v>10/14/2024</c:v>
                </c:pt>
                <c:pt idx="20">
                  <c:v>10/21/2024</c:v>
                </c:pt>
                <c:pt idx="21">
                  <c:v>10/28/2024</c:v>
                </c:pt>
                <c:pt idx="22">
                  <c:v>11/4/2024</c:v>
                </c:pt>
                <c:pt idx="23">
                  <c:v>11/11/2024</c:v>
                </c:pt>
                <c:pt idx="24">
                  <c:v>11/18/2024</c:v>
                </c:pt>
                <c:pt idx="25">
                  <c:v>11/25/2024</c:v>
                </c:pt>
                <c:pt idx="26">
                  <c:v>12/2/2024</c:v>
                </c:pt>
                <c:pt idx="27">
                  <c:v>12/9/2024</c:v>
                </c:pt>
                <c:pt idx="28">
                  <c:v>12/16/2024</c:v>
                </c:pt>
                <c:pt idx="29">
                  <c:v>12/23/2024</c:v>
                </c:pt>
                <c:pt idx="30">
                  <c:v>12/30/2024</c:v>
                </c:pt>
                <c:pt idx="31">
                  <c:v>1/6/2025</c:v>
                </c:pt>
                <c:pt idx="32">
                  <c:v>1/13/2025</c:v>
                </c:pt>
                <c:pt idx="33">
                  <c:v>1/20/2025</c:v>
                </c:pt>
                <c:pt idx="34">
                  <c:v>1/27/2025</c:v>
                </c:pt>
                <c:pt idx="35">
                  <c:v>2/3/2025</c:v>
                </c:pt>
                <c:pt idx="36">
                  <c:v>2/10/2025</c:v>
                </c:pt>
                <c:pt idx="37">
                  <c:v>2/17/2025</c:v>
                </c:pt>
                <c:pt idx="38">
                  <c:v>2/24/2025</c:v>
                </c:pt>
                <c:pt idx="39">
                  <c:v>3/3/2025</c:v>
                </c:pt>
                <c:pt idx="40">
                  <c:v>3/10/2025</c:v>
                </c:pt>
                <c:pt idx="41">
                  <c:v>3/17/2025</c:v>
                </c:pt>
                <c:pt idx="42">
                  <c:v>3/24/2025</c:v>
                </c:pt>
                <c:pt idx="43">
                  <c:v>3/31/2025</c:v>
                </c:pt>
                <c:pt idx="44">
                  <c:v>4/7/2025</c:v>
                </c:pt>
                <c:pt idx="45">
                  <c:v>4/14/2025</c:v>
                </c:pt>
                <c:pt idx="46">
                  <c:v>4/21/2025</c:v>
                </c:pt>
                <c:pt idx="47">
                  <c:v>4/28/2025</c:v>
                </c:pt>
                <c:pt idx="48">
                  <c:v>5/5/2025</c:v>
                </c:pt>
                <c:pt idx="49">
                  <c:v>5/12/2025</c:v>
                </c:pt>
              </c:strCache>
            </c:strRef>
          </c:cat>
          <c:val>
            <c:numRef>
              <c:f>Task6!$E$7:$E$57</c:f>
              <c:numCache>
                <c:formatCode>0.00</c:formatCode>
                <c:ptCount val="50"/>
                <c:pt idx="0">
                  <c:v>0.27557542170624166</c:v>
                </c:pt>
                <c:pt idx="1">
                  <c:v>0.24016739232334167</c:v>
                </c:pt>
                <c:pt idx="2">
                  <c:v>8.8023800381871797E-2</c:v>
                </c:pt>
                <c:pt idx="3">
                  <c:v>-2.8860773750305036E-2</c:v>
                </c:pt>
                <c:pt idx="4">
                  <c:v>8.0050669434719113E-2</c:v>
                </c:pt>
                <c:pt idx="5">
                  <c:v>0.21994574101175038</c:v>
                </c:pt>
                <c:pt idx="6">
                  <c:v>0.10211701333265255</c:v>
                </c:pt>
                <c:pt idx="7">
                  <c:v>0.10340418313957282</c:v>
                </c:pt>
                <c:pt idx="8">
                  <c:v>0.76001216019456308</c:v>
                </c:pt>
                <c:pt idx="9">
                  <c:v>9.9485420240137221E-2</c:v>
                </c:pt>
                <c:pt idx="10">
                  <c:v>1.011348268360087</c:v>
                </c:pt>
                <c:pt idx="11">
                  <c:v>0.21728440241071326</c:v>
                </c:pt>
                <c:pt idx="12">
                  <c:v>1.1713324743561855E-2</c:v>
                </c:pt>
                <c:pt idx="13">
                  <c:v>8.9764429025449427E-2</c:v>
                </c:pt>
                <c:pt idx="14">
                  <c:v>1.703234597339857</c:v>
                </c:pt>
                <c:pt idx="15">
                  <c:v>-2.6681341404439108E-2</c:v>
                </c:pt>
                <c:pt idx="16">
                  <c:v>1.592351646960128</c:v>
                </c:pt>
                <c:pt idx="17">
                  <c:v>1.8079694785926241</c:v>
                </c:pt>
                <c:pt idx="18">
                  <c:v>0.10019784829366461</c:v>
                </c:pt>
                <c:pt idx="19">
                  <c:v>0.18425729749269498</c:v>
                </c:pt>
                <c:pt idx="20">
                  <c:v>0.57763419096181545</c:v>
                </c:pt>
                <c:pt idx="21">
                  <c:v>0.54180958515762179</c:v>
                </c:pt>
                <c:pt idx="22">
                  <c:v>0.40317597627286211</c:v>
                </c:pt>
                <c:pt idx="23">
                  <c:v>0.28821299683708945</c:v>
                </c:pt>
                <c:pt idx="24">
                  <c:v>1.9887634863023914E-2</c:v>
                </c:pt>
                <c:pt idx="25">
                  <c:v>1.4152074838090669</c:v>
                </c:pt>
                <c:pt idx="26">
                  <c:v>0.13151115811166245</c:v>
                </c:pt>
                <c:pt idx="27">
                  <c:v>0.12679964770499277</c:v>
                </c:pt>
                <c:pt idx="28">
                  <c:v>0.17917737946946316</c:v>
                </c:pt>
                <c:pt idx="29">
                  <c:v>6.3113158835445047</c:v>
                </c:pt>
                <c:pt idx="30">
                  <c:v>1.0669005078738718</c:v>
                </c:pt>
                <c:pt idx="31">
                  <c:v>0.88669950738916259</c:v>
                </c:pt>
                <c:pt idx="32">
                  <c:v>6.2409087760615085</c:v>
                </c:pt>
                <c:pt idx="33">
                  <c:v>0.2148693125665902</c:v>
                </c:pt>
                <c:pt idx="34">
                  <c:v>0.26534161921203286</c:v>
                </c:pt>
                <c:pt idx="35">
                  <c:v>-7.4972485467156139E-2</c:v>
                </c:pt>
                <c:pt idx="36">
                  <c:v>0.29756017144741181</c:v>
                </c:pt>
                <c:pt idx="37">
                  <c:v>1.1086997546706925</c:v>
                </c:pt>
                <c:pt idx="38">
                  <c:v>0.21885278918832757</c:v>
                </c:pt>
                <c:pt idx="39">
                  <c:v>0.14029055733207443</c:v>
                </c:pt>
                <c:pt idx="40">
                  <c:v>1.2622336046830696</c:v>
                </c:pt>
                <c:pt idx="41">
                  <c:v>7.9689298043728432</c:v>
                </c:pt>
                <c:pt idx="42">
                  <c:v>8.8022790888170319E-2</c:v>
                </c:pt>
                <c:pt idx="43">
                  <c:v>0.33667947287974553</c:v>
                </c:pt>
                <c:pt idx="44">
                  <c:v>7.1981098934404214E-2</c:v>
                </c:pt>
                <c:pt idx="45">
                  <c:v>3.9239564305527365E-2</c:v>
                </c:pt>
                <c:pt idx="46">
                  <c:v>0.60267642955734835</c:v>
                </c:pt>
                <c:pt idx="47">
                  <c:v>5.5706165282028861</c:v>
                </c:pt>
                <c:pt idx="48">
                  <c:v>0.58190830903102841</c:v>
                </c:pt>
                <c:pt idx="49">
                  <c:v>-0.4081978730104896</c:v>
                </c:pt>
              </c:numCache>
            </c:numRef>
          </c:val>
          <c:smooth val="0"/>
          <c:extLst>
            <c:ext xmlns:c16="http://schemas.microsoft.com/office/drawing/2014/chart" uri="{C3380CC4-5D6E-409C-BE32-E72D297353CC}">
              <c16:uniqueId val="{00000002-F353-4095-A3C4-ABB1FCD5A363}"/>
            </c:ext>
          </c:extLst>
        </c:ser>
        <c:dLbls>
          <c:showLegendKey val="0"/>
          <c:showVal val="0"/>
          <c:showCatName val="0"/>
          <c:showSerName val="0"/>
          <c:showPercent val="0"/>
          <c:showBubbleSize val="0"/>
        </c:dLbls>
        <c:smooth val="0"/>
        <c:axId val="1486725103"/>
        <c:axId val="254194095"/>
      </c:lineChart>
      <c:catAx>
        <c:axId val="148672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254194095"/>
        <c:crosses val="autoZero"/>
        <c:auto val="1"/>
        <c:lblAlgn val="ctr"/>
        <c:lblOffset val="100"/>
        <c:noMultiLvlLbl val="0"/>
      </c:catAx>
      <c:valAx>
        <c:axId val="2541940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486725103"/>
        <c:crosses val="autoZero"/>
        <c:crossBetween val="between"/>
      </c:valAx>
      <c:spPr>
        <a:noFill/>
        <a:ln>
          <a:noFill/>
        </a:ln>
        <a:effectLst/>
      </c:spPr>
    </c:plotArea>
    <c:legend>
      <c:legendPos val="r"/>
      <c:layout>
        <c:manualLayout>
          <c:xMode val="edge"/>
          <c:yMode val="edge"/>
          <c:x val="0.92676601098313305"/>
          <c:y val="0.43294509037613238"/>
          <c:w val="7.3234002424802117E-2"/>
          <c:h val="0.301511492115495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work.xlsx]Task6!PivotTable2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a:p>
            <a:pPr>
              <a:defRPr/>
            </a:pPr>
            <a:r>
              <a:rPr lang="en-US" sz="1800">
                <a:solidFill>
                  <a:srgbClr val="FF0000"/>
                </a:solidFill>
              </a:rPr>
              <a:t>Followers</a:t>
            </a:r>
            <a:r>
              <a:rPr lang="en-US" sz="1800" baseline="0">
                <a:solidFill>
                  <a:srgbClr val="FF0000"/>
                </a:solidFill>
              </a:rPr>
              <a:t> gain per week</a:t>
            </a:r>
            <a:endParaRPr lang="en-US" sz="1800">
              <a:solidFill>
                <a:srgbClr val="FF0000"/>
              </a:solidFill>
            </a:endParaRPr>
          </a:p>
        </c:rich>
      </c:tx>
      <c:layout>
        <c:manualLayout>
          <c:xMode val="edge"/>
          <c:yMode val="edge"/>
          <c:x val="0.3678156174750602"/>
          <c:y val="7.63189436531113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00B050"/>
          </a:solidFill>
          <a:ln>
            <a:noFill/>
          </a:ln>
          <a:effectLst/>
        </c:spPr>
      </c:pivotFmt>
      <c:pivotFmt>
        <c:idx val="2"/>
        <c:spPr>
          <a:solidFill>
            <a:srgbClr val="00B050"/>
          </a:solidFill>
          <a:ln>
            <a:noFill/>
          </a:ln>
          <a:effectLst/>
        </c:spPr>
      </c:pivotFmt>
    </c:pivotFmts>
    <c:plotArea>
      <c:layout/>
      <c:barChart>
        <c:barDir val="col"/>
        <c:grouping val="stacked"/>
        <c:varyColors val="0"/>
        <c:ser>
          <c:idx val="0"/>
          <c:order val="0"/>
          <c:tx>
            <c:strRef>
              <c:f>Task6!$B$86</c:f>
              <c:strCache>
                <c:ptCount val="1"/>
                <c:pt idx="0">
                  <c:v>Total</c:v>
                </c:pt>
              </c:strCache>
            </c:strRef>
          </c:tx>
          <c:spPr>
            <a:solidFill>
              <a:schemeClr val="accent1"/>
            </a:solidFill>
            <a:ln>
              <a:noFill/>
            </a:ln>
            <a:effectLst/>
          </c:spPr>
          <c:invertIfNegative val="0"/>
          <c:dPt>
            <c:idx val="30"/>
            <c:invertIfNegative val="0"/>
            <c:bubble3D val="0"/>
            <c:spPr>
              <a:solidFill>
                <a:srgbClr val="00B050"/>
              </a:solidFill>
              <a:ln>
                <a:noFill/>
              </a:ln>
              <a:effectLst/>
            </c:spPr>
            <c:extLst>
              <c:ext xmlns:c16="http://schemas.microsoft.com/office/drawing/2014/chart" uri="{C3380CC4-5D6E-409C-BE32-E72D297353CC}">
                <c16:uniqueId val="{00000000-0013-495F-A060-AEFFAC87A6E7}"/>
              </c:ext>
            </c:extLst>
          </c:dPt>
          <c:cat>
            <c:strRef>
              <c:f>Task6!$A$87:$A$137</c:f>
              <c:strCache>
                <c:ptCount val="50"/>
                <c:pt idx="0">
                  <c:v>6/3/2024</c:v>
                </c:pt>
                <c:pt idx="1">
                  <c:v>6/10/2024</c:v>
                </c:pt>
                <c:pt idx="2">
                  <c:v>6/17/2024</c:v>
                </c:pt>
                <c:pt idx="3">
                  <c:v>6/24/2024</c:v>
                </c:pt>
                <c:pt idx="4">
                  <c:v>7/1/2024</c:v>
                </c:pt>
                <c:pt idx="5">
                  <c:v>7/8/2024</c:v>
                </c:pt>
                <c:pt idx="6">
                  <c:v>7/15/2024</c:v>
                </c:pt>
                <c:pt idx="7">
                  <c:v>7/22/2024</c:v>
                </c:pt>
                <c:pt idx="8">
                  <c:v>7/29/2024</c:v>
                </c:pt>
                <c:pt idx="9">
                  <c:v>8/5/2024</c:v>
                </c:pt>
                <c:pt idx="10">
                  <c:v>8/12/2024</c:v>
                </c:pt>
                <c:pt idx="11">
                  <c:v>8/19/2024</c:v>
                </c:pt>
                <c:pt idx="12">
                  <c:v>8/26/2024</c:v>
                </c:pt>
                <c:pt idx="13">
                  <c:v>9/2/2024</c:v>
                </c:pt>
                <c:pt idx="14">
                  <c:v>9/9/2024</c:v>
                </c:pt>
                <c:pt idx="15">
                  <c:v>9/16/2024</c:v>
                </c:pt>
                <c:pt idx="16">
                  <c:v>9/23/2024</c:v>
                </c:pt>
                <c:pt idx="17">
                  <c:v>9/30/2024</c:v>
                </c:pt>
                <c:pt idx="18">
                  <c:v>10/7/2024</c:v>
                </c:pt>
                <c:pt idx="19">
                  <c:v>10/14/2024</c:v>
                </c:pt>
                <c:pt idx="20">
                  <c:v>10/21/2024</c:v>
                </c:pt>
                <c:pt idx="21">
                  <c:v>10/28/2024</c:v>
                </c:pt>
                <c:pt idx="22">
                  <c:v>11/4/2024</c:v>
                </c:pt>
                <c:pt idx="23">
                  <c:v>11/11/2024</c:v>
                </c:pt>
                <c:pt idx="24">
                  <c:v>11/18/2024</c:v>
                </c:pt>
                <c:pt idx="25">
                  <c:v>11/25/2024</c:v>
                </c:pt>
                <c:pt idx="26">
                  <c:v>12/2/2024</c:v>
                </c:pt>
                <c:pt idx="27">
                  <c:v>12/9/2024</c:v>
                </c:pt>
                <c:pt idx="28">
                  <c:v>12/16/2024</c:v>
                </c:pt>
                <c:pt idx="29">
                  <c:v>12/23/2024</c:v>
                </c:pt>
                <c:pt idx="30">
                  <c:v>12/30/2024</c:v>
                </c:pt>
                <c:pt idx="31">
                  <c:v>1/6/2025</c:v>
                </c:pt>
                <c:pt idx="32">
                  <c:v>1/13/2025</c:v>
                </c:pt>
                <c:pt idx="33">
                  <c:v>1/20/2025</c:v>
                </c:pt>
                <c:pt idx="34">
                  <c:v>1/27/2025</c:v>
                </c:pt>
                <c:pt idx="35">
                  <c:v>2/3/2025</c:v>
                </c:pt>
                <c:pt idx="36">
                  <c:v>2/10/2025</c:v>
                </c:pt>
                <c:pt idx="37">
                  <c:v>2/17/2025</c:v>
                </c:pt>
                <c:pt idx="38">
                  <c:v>2/24/2025</c:v>
                </c:pt>
                <c:pt idx="39">
                  <c:v>3/3/2025</c:v>
                </c:pt>
                <c:pt idx="40">
                  <c:v>3/10/2025</c:v>
                </c:pt>
                <c:pt idx="41">
                  <c:v>3/17/2025</c:v>
                </c:pt>
                <c:pt idx="42">
                  <c:v>3/24/2025</c:v>
                </c:pt>
                <c:pt idx="43">
                  <c:v>3/31/2025</c:v>
                </c:pt>
                <c:pt idx="44">
                  <c:v>4/7/2025</c:v>
                </c:pt>
                <c:pt idx="45">
                  <c:v>4/14/2025</c:v>
                </c:pt>
                <c:pt idx="46">
                  <c:v>4/21/2025</c:v>
                </c:pt>
                <c:pt idx="47">
                  <c:v>4/28/2025</c:v>
                </c:pt>
                <c:pt idx="48">
                  <c:v>5/5/2025</c:v>
                </c:pt>
                <c:pt idx="49">
                  <c:v>5/12/2025</c:v>
                </c:pt>
              </c:strCache>
            </c:strRef>
          </c:cat>
          <c:val>
            <c:numRef>
              <c:f>Task6!$B$87:$B$137</c:f>
              <c:numCache>
                <c:formatCode>General</c:formatCode>
                <c:ptCount val="50"/>
                <c:pt idx="0">
                  <c:v>3554</c:v>
                </c:pt>
                <c:pt idx="1">
                  <c:v>2980</c:v>
                </c:pt>
                <c:pt idx="2">
                  <c:v>3907</c:v>
                </c:pt>
                <c:pt idx="3">
                  <c:v>3011</c:v>
                </c:pt>
                <c:pt idx="4">
                  <c:v>1293</c:v>
                </c:pt>
                <c:pt idx="5">
                  <c:v>3042</c:v>
                </c:pt>
                <c:pt idx="6">
                  <c:v>2270</c:v>
                </c:pt>
                <c:pt idx="7">
                  <c:v>2753</c:v>
                </c:pt>
                <c:pt idx="8">
                  <c:v>2193</c:v>
                </c:pt>
                <c:pt idx="9">
                  <c:v>802</c:v>
                </c:pt>
                <c:pt idx="10">
                  <c:v>3728</c:v>
                </c:pt>
                <c:pt idx="11">
                  <c:v>2989</c:v>
                </c:pt>
                <c:pt idx="12">
                  <c:v>2903</c:v>
                </c:pt>
                <c:pt idx="13">
                  <c:v>2822</c:v>
                </c:pt>
                <c:pt idx="14">
                  <c:v>4360</c:v>
                </c:pt>
                <c:pt idx="15">
                  <c:v>1568</c:v>
                </c:pt>
                <c:pt idx="16">
                  <c:v>3333</c:v>
                </c:pt>
                <c:pt idx="17">
                  <c:v>3151</c:v>
                </c:pt>
                <c:pt idx="18">
                  <c:v>3759</c:v>
                </c:pt>
                <c:pt idx="19">
                  <c:v>1856</c:v>
                </c:pt>
                <c:pt idx="20">
                  <c:v>2821</c:v>
                </c:pt>
                <c:pt idx="21">
                  <c:v>2656</c:v>
                </c:pt>
                <c:pt idx="22">
                  <c:v>4584</c:v>
                </c:pt>
                <c:pt idx="23">
                  <c:v>2295</c:v>
                </c:pt>
                <c:pt idx="24">
                  <c:v>528</c:v>
                </c:pt>
                <c:pt idx="25">
                  <c:v>4008</c:v>
                </c:pt>
                <c:pt idx="26">
                  <c:v>4795</c:v>
                </c:pt>
                <c:pt idx="27">
                  <c:v>4792</c:v>
                </c:pt>
                <c:pt idx="28">
                  <c:v>5044</c:v>
                </c:pt>
                <c:pt idx="29">
                  <c:v>3914</c:v>
                </c:pt>
                <c:pt idx="30">
                  <c:v>6530</c:v>
                </c:pt>
                <c:pt idx="31">
                  <c:v>3557</c:v>
                </c:pt>
                <c:pt idx="32">
                  <c:v>2777</c:v>
                </c:pt>
                <c:pt idx="33">
                  <c:v>3614</c:v>
                </c:pt>
                <c:pt idx="34">
                  <c:v>3383</c:v>
                </c:pt>
                <c:pt idx="35">
                  <c:v>2194</c:v>
                </c:pt>
                <c:pt idx="36">
                  <c:v>5281</c:v>
                </c:pt>
                <c:pt idx="37">
                  <c:v>3693</c:v>
                </c:pt>
                <c:pt idx="38">
                  <c:v>4806</c:v>
                </c:pt>
                <c:pt idx="39">
                  <c:v>2410</c:v>
                </c:pt>
                <c:pt idx="40">
                  <c:v>3712</c:v>
                </c:pt>
                <c:pt idx="41">
                  <c:v>4042</c:v>
                </c:pt>
                <c:pt idx="42">
                  <c:v>1616</c:v>
                </c:pt>
                <c:pt idx="43">
                  <c:v>4298</c:v>
                </c:pt>
                <c:pt idx="44">
                  <c:v>2412</c:v>
                </c:pt>
                <c:pt idx="45">
                  <c:v>-137</c:v>
                </c:pt>
                <c:pt idx="46">
                  <c:v>4040</c:v>
                </c:pt>
                <c:pt idx="47">
                  <c:v>3577</c:v>
                </c:pt>
                <c:pt idx="48">
                  <c:v>4594</c:v>
                </c:pt>
                <c:pt idx="49">
                  <c:v>1995</c:v>
                </c:pt>
              </c:numCache>
            </c:numRef>
          </c:val>
          <c:extLst>
            <c:ext xmlns:c16="http://schemas.microsoft.com/office/drawing/2014/chart" uri="{C3380CC4-5D6E-409C-BE32-E72D297353CC}">
              <c16:uniqueId val="{00000000-370D-4A25-B176-C0B8E6EC23C1}"/>
            </c:ext>
          </c:extLst>
        </c:ser>
        <c:dLbls>
          <c:showLegendKey val="0"/>
          <c:showVal val="0"/>
          <c:showCatName val="0"/>
          <c:showSerName val="0"/>
          <c:showPercent val="0"/>
          <c:showBubbleSize val="0"/>
        </c:dLbls>
        <c:gapWidth val="150"/>
        <c:overlap val="100"/>
        <c:axId val="1088674383"/>
        <c:axId val="1088674863"/>
      </c:barChart>
      <c:catAx>
        <c:axId val="108867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088674863"/>
        <c:crosses val="autoZero"/>
        <c:auto val="1"/>
        <c:lblAlgn val="ctr"/>
        <c:lblOffset val="100"/>
        <c:noMultiLvlLbl val="0"/>
      </c:catAx>
      <c:valAx>
        <c:axId val="1088674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08867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work.xlsx]Task6!PivotTable4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rgbClr val="FF0000"/>
                </a:solidFill>
              </a:rPr>
              <a:t>Followers</a:t>
            </a:r>
            <a:r>
              <a:rPr lang="en-US" sz="2000" baseline="0">
                <a:solidFill>
                  <a:srgbClr val="FF0000"/>
                </a:solidFill>
              </a:rPr>
              <a:t> Growth Trend</a:t>
            </a:r>
            <a:endParaRPr lang="en-US" sz="2000">
              <a:solidFill>
                <a:srgbClr val="FF0000"/>
              </a:solidFill>
            </a:endParaRPr>
          </a:p>
        </c:rich>
      </c:tx>
      <c:layout>
        <c:manualLayout>
          <c:xMode val="edge"/>
          <c:yMode val="edge"/>
          <c:x val="0.41818875702701597"/>
          <c:y val="9.60131380225516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Task6!$B$142</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Task6!$A$143:$A$193</c:f>
              <c:strCache>
                <c:ptCount val="50"/>
                <c:pt idx="0">
                  <c:v>6/3/2024</c:v>
                </c:pt>
                <c:pt idx="1">
                  <c:v>6/10/2024</c:v>
                </c:pt>
                <c:pt idx="2">
                  <c:v>6/17/2024</c:v>
                </c:pt>
                <c:pt idx="3">
                  <c:v>6/24/2024</c:v>
                </c:pt>
                <c:pt idx="4">
                  <c:v>7/1/2024</c:v>
                </c:pt>
                <c:pt idx="5">
                  <c:v>7/8/2024</c:v>
                </c:pt>
                <c:pt idx="6">
                  <c:v>7/15/2024</c:v>
                </c:pt>
                <c:pt idx="7">
                  <c:v>7/22/2024</c:v>
                </c:pt>
                <c:pt idx="8">
                  <c:v>7/29/2024</c:v>
                </c:pt>
                <c:pt idx="9">
                  <c:v>8/5/2024</c:v>
                </c:pt>
                <c:pt idx="10">
                  <c:v>8/12/2024</c:v>
                </c:pt>
                <c:pt idx="11">
                  <c:v>8/19/2024</c:v>
                </c:pt>
                <c:pt idx="12">
                  <c:v>8/26/2024</c:v>
                </c:pt>
                <c:pt idx="13">
                  <c:v>9/2/2024</c:v>
                </c:pt>
                <c:pt idx="14">
                  <c:v>9/9/2024</c:v>
                </c:pt>
                <c:pt idx="15">
                  <c:v>9/16/2024</c:v>
                </c:pt>
                <c:pt idx="16">
                  <c:v>9/23/2024</c:v>
                </c:pt>
                <c:pt idx="17">
                  <c:v>9/30/2024</c:v>
                </c:pt>
                <c:pt idx="18">
                  <c:v>10/7/2024</c:v>
                </c:pt>
                <c:pt idx="19">
                  <c:v>10/14/2024</c:v>
                </c:pt>
                <c:pt idx="20">
                  <c:v>10/21/2024</c:v>
                </c:pt>
                <c:pt idx="21">
                  <c:v>10/28/2024</c:v>
                </c:pt>
                <c:pt idx="22">
                  <c:v>11/4/2024</c:v>
                </c:pt>
                <c:pt idx="23">
                  <c:v>11/11/2024</c:v>
                </c:pt>
                <c:pt idx="24">
                  <c:v>11/18/2024</c:v>
                </c:pt>
                <c:pt idx="25">
                  <c:v>11/25/2024</c:v>
                </c:pt>
                <c:pt idx="26">
                  <c:v>12/2/2024</c:v>
                </c:pt>
                <c:pt idx="27">
                  <c:v>12/9/2024</c:v>
                </c:pt>
                <c:pt idx="28">
                  <c:v>12/16/2024</c:v>
                </c:pt>
                <c:pt idx="29">
                  <c:v>12/23/2024</c:v>
                </c:pt>
                <c:pt idx="30">
                  <c:v>12/30/2024</c:v>
                </c:pt>
                <c:pt idx="31">
                  <c:v>1/6/2025</c:v>
                </c:pt>
                <c:pt idx="32">
                  <c:v>1/13/2025</c:v>
                </c:pt>
                <c:pt idx="33">
                  <c:v>1/20/2025</c:v>
                </c:pt>
                <c:pt idx="34">
                  <c:v>1/27/2025</c:v>
                </c:pt>
                <c:pt idx="35">
                  <c:v>2/3/2025</c:v>
                </c:pt>
                <c:pt idx="36">
                  <c:v>2/10/2025</c:v>
                </c:pt>
                <c:pt idx="37">
                  <c:v>2/17/2025</c:v>
                </c:pt>
                <c:pt idx="38">
                  <c:v>2/24/2025</c:v>
                </c:pt>
                <c:pt idx="39">
                  <c:v>3/3/2025</c:v>
                </c:pt>
                <c:pt idx="40">
                  <c:v>3/10/2025</c:v>
                </c:pt>
                <c:pt idx="41">
                  <c:v>3/17/2025</c:v>
                </c:pt>
                <c:pt idx="42">
                  <c:v>3/24/2025</c:v>
                </c:pt>
                <c:pt idx="43">
                  <c:v>3/31/2025</c:v>
                </c:pt>
                <c:pt idx="44">
                  <c:v>4/7/2025</c:v>
                </c:pt>
                <c:pt idx="45">
                  <c:v>4/14/2025</c:v>
                </c:pt>
                <c:pt idx="46">
                  <c:v>4/21/2025</c:v>
                </c:pt>
                <c:pt idx="47">
                  <c:v>4/28/2025</c:v>
                </c:pt>
                <c:pt idx="48">
                  <c:v>5/5/2025</c:v>
                </c:pt>
                <c:pt idx="49">
                  <c:v>5/12/2025</c:v>
                </c:pt>
              </c:strCache>
            </c:strRef>
          </c:cat>
          <c:val>
            <c:numRef>
              <c:f>Task6!$B$143:$B$193</c:f>
              <c:numCache>
                <c:formatCode>General</c:formatCode>
                <c:ptCount val="50"/>
                <c:pt idx="0">
                  <c:v>3554</c:v>
                </c:pt>
                <c:pt idx="1">
                  <c:v>2980</c:v>
                </c:pt>
                <c:pt idx="2">
                  <c:v>3907</c:v>
                </c:pt>
                <c:pt idx="3">
                  <c:v>3011</c:v>
                </c:pt>
                <c:pt idx="4">
                  <c:v>1293</c:v>
                </c:pt>
                <c:pt idx="5">
                  <c:v>3042</c:v>
                </c:pt>
                <c:pt idx="6">
                  <c:v>2270</c:v>
                </c:pt>
                <c:pt idx="7">
                  <c:v>2753</c:v>
                </c:pt>
                <c:pt idx="8">
                  <c:v>2193</c:v>
                </c:pt>
                <c:pt idx="9">
                  <c:v>802</c:v>
                </c:pt>
                <c:pt idx="10">
                  <c:v>3728</c:v>
                </c:pt>
                <c:pt idx="11">
                  <c:v>2989</c:v>
                </c:pt>
                <c:pt idx="12">
                  <c:v>2903</c:v>
                </c:pt>
                <c:pt idx="13">
                  <c:v>2822</c:v>
                </c:pt>
                <c:pt idx="14">
                  <c:v>4360</c:v>
                </c:pt>
                <c:pt idx="15">
                  <c:v>1568</c:v>
                </c:pt>
                <c:pt idx="16">
                  <c:v>3333</c:v>
                </c:pt>
                <c:pt idx="17">
                  <c:v>3151</c:v>
                </c:pt>
                <c:pt idx="18">
                  <c:v>3759</c:v>
                </c:pt>
                <c:pt idx="19">
                  <c:v>1856</c:v>
                </c:pt>
                <c:pt idx="20">
                  <c:v>2821</c:v>
                </c:pt>
                <c:pt idx="21">
                  <c:v>2656</c:v>
                </c:pt>
                <c:pt idx="22">
                  <c:v>4584</c:v>
                </c:pt>
                <c:pt idx="23">
                  <c:v>2295</c:v>
                </c:pt>
                <c:pt idx="24">
                  <c:v>528</c:v>
                </c:pt>
                <c:pt idx="25">
                  <c:v>4008</c:v>
                </c:pt>
                <c:pt idx="26">
                  <c:v>4795</c:v>
                </c:pt>
                <c:pt idx="27">
                  <c:v>4792</c:v>
                </c:pt>
                <c:pt idx="28">
                  <c:v>5044</c:v>
                </c:pt>
                <c:pt idx="29">
                  <c:v>3914</c:v>
                </c:pt>
                <c:pt idx="30">
                  <c:v>6530</c:v>
                </c:pt>
                <c:pt idx="31">
                  <c:v>3557</c:v>
                </c:pt>
                <c:pt idx="32">
                  <c:v>2777</c:v>
                </c:pt>
                <c:pt idx="33">
                  <c:v>3614</c:v>
                </c:pt>
                <c:pt idx="34">
                  <c:v>3383</c:v>
                </c:pt>
                <c:pt idx="35">
                  <c:v>2194</c:v>
                </c:pt>
                <c:pt idx="36">
                  <c:v>5281</c:v>
                </c:pt>
                <c:pt idx="37">
                  <c:v>3693</c:v>
                </c:pt>
                <c:pt idx="38">
                  <c:v>4806</c:v>
                </c:pt>
                <c:pt idx="39">
                  <c:v>2410</c:v>
                </c:pt>
                <c:pt idx="40">
                  <c:v>3712</c:v>
                </c:pt>
                <c:pt idx="41">
                  <c:v>4042</c:v>
                </c:pt>
                <c:pt idx="42">
                  <c:v>1616</c:v>
                </c:pt>
                <c:pt idx="43">
                  <c:v>4298</c:v>
                </c:pt>
                <c:pt idx="44">
                  <c:v>2412</c:v>
                </c:pt>
                <c:pt idx="45">
                  <c:v>-137</c:v>
                </c:pt>
                <c:pt idx="46">
                  <c:v>4040</c:v>
                </c:pt>
                <c:pt idx="47">
                  <c:v>3577</c:v>
                </c:pt>
                <c:pt idx="48">
                  <c:v>4594</c:v>
                </c:pt>
                <c:pt idx="49">
                  <c:v>1995</c:v>
                </c:pt>
              </c:numCache>
            </c:numRef>
          </c:val>
          <c:smooth val="0"/>
          <c:extLst>
            <c:ext xmlns:c16="http://schemas.microsoft.com/office/drawing/2014/chart" uri="{C3380CC4-5D6E-409C-BE32-E72D297353CC}">
              <c16:uniqueId val="{00000000-73F5-4CF1-B8A0-08C9943C212A}"/>
            </c:ext>
          </c:extLst>
        </c:ser>
        <c:dLbls>
          <c:showLegendKey val="0"/>
          <c:showVal val="0"/>
          <c:showCatName val="0"/>
          <c:showSerName val="0"/>
          <c:showPercent val="0"/>
          <c:showBubbleSize val="0"/>
        </c:dLbls>
        <c:smooth val="0"/>
        <c:axId val="61486671"/>
        <c:axId val="61488111"/>
      </c:lineChart>
      <c:catAx>
        <c:axId val="61486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61488111"/>
        <c:crosses val="autoZero"/>
        <c:auto val="1"/>
        <c:lblAlgn val="ctr"/>
        <c:lblOffset val="100"/>
        <c:noMultiLvlLbl val="0"/>
      </c:catAx>
      <c:valAx>
        <c:axId val="61488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6148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rgbClr val="FF0000"/>
                </a:solidFill>
              </a:rPr>
              <a:t>AD</a:t>
            </a:r>
            <a:r>
              <a:rPr lang="en-US" b="1" u="sng" baseline="0">
                <a:solidFill>
                  <a:srgbClr val="FF0000"/>
                </a:solidFill>
              </a:rPr>
              <a:t> SPEND VS FOLLOWERS GROWTH RATE</a:t>
            </a:r>
            <a:endParaRPr lang="en-US" b="1" u="sng">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'Engagment Summary'!$H$2:$H$201</c:f>
              <c:numCache>
                <c:formatCode>General</c:formatCode>
                <c:ptCount val="200"/>
                <c:pt idx="0">
                  <c:v>5904</c:v>
                </c:pt>
                <c:pt idx="1">
                  <c:v>9566</c:v>
                </c:pt>
                <c:pt idx="2">
                  <c:v>26752</c:v>
                </c:pt>
                <c:pt idx="3">
                  <c:v>30671</c:v>
                </c:pt>
                <c:pt idx="4">
                  <c:v>9920</c:v>
                </c:pt>
                <c:pt idx="5">
                  <c:v>7924</c:v>
                </c:pt>
                <c:pt idx="6">
                  <c:v>8912</c:v>
                </c:pt>
                <c:pt idx="7">
                  <c:v>21205</c:v>
                </c:pt>
                <c:pt idx="8">
                  <c:v>11329</c:v>
                </c:pt>
                <c:pt idx="9">
                  <c:v>46670</c:v>
                </c:pt>
                <c:pt idx="10">
                  <c:v>22482</c:v>
                </c:pt>
                <c:pt idx="11">
                  <c:v>24313</c:v>
                </c:pt>
                <c:pt idx="12">
                  <c:v>18050</c:v>
                </c:pt>
                <c:pt idx="13">
                  <c:v>30635</c:v>
                </c:pt>
                <c:pt idx="14">
                  <c:v>31280</c:v>
                </c:pt>
                <c:pt idx="15">
                  <c:v>1783</c:v>
                </c:pt>
                <c:pt idx="16">
                  <c:v>9566</c:v>
                </c:pt>
                <c:pt idx="17">
                  <c:v>42307</c:v>
                </c:pt>
                <c:pt idx="18">
                  <c:v>5914</c:v>
                </c:pt>
                <c:pt idx="19">
                  <c:v>30060</c:v>
                </c:pt>
                <c:pt idx="20">
                  <c:v>22728</c:v>
                </c:pt>
                <c:pt idx="21">
                  <c:v>38610</c:v>
                </c:pt>
                <c:pt idx="22">
                  <c:v>2932</c:v>
                </c:pt>
                <c:pt idx="23">
                  <c:v>15071</c:v>
                </c:pt>
                <c:pt idx="24">
                  <c:v>10740</c:v>
                </c:pt>
                <c:pt idx="25">
                  <c:v>43420</c:v>
                </c:pt>
                <c:pt idx="26">
                  <c:v>32393</c:v>
                </c:pt>
                <c:pt idx="27">
                  <c:v>28474</c:v>
                </c:pt>
                <c:pt idx="28">
                  <c:v>17328</c:v>
                </c:pt>
                <c:pt idx="29">
                  <c:v>26067</c:v>
                </c:pt>
                <c:pt idx="30">
                  <c:v>32763</c:v>
                </c:pt>
                <c:pt idx="31">
                  <c:v>26452</c:v>
                </c:pt>
                <c:pt idx="32">
                  <c:v>15353</c:v>
                </c:pt>
                <c:pt idx="33">
                  <c:v>4839</c:v>
                </c:pt>
                <c:pt idx="34">
                  <c:v>39272</c:v>
                </c:pt>
                <c:pt idx="35">
                  <c:v>16804</c:v>
                </c:pt>
                <c:pt idx="36">
                  <c:v>49303</c:v>
                </c:pt>
                <c:pt idx="37">
                  <c:v>26455</c:v>
                </c:pt>
                <c:pt idx="38">
                  <c:v>12384</c:v>
                </c:pt>
                <c:pt idx="39">
                  <c:v>49372</c:v>
                </c:pt>
                <c:pt idx="40">
                  <c:v>47101</c:v>
                </c:pt>
                <c:pt idx="41">
                  <c:v>37903</c:v>
                </c:pt>
                <c:pt idx="42">
                  <c:v>33258</c:v>
                </c:pt>
                <c:pt idx="43">
                  <c:v>6915</c:v>
                </c:pt>
                <c:pt idx="44">
                  <c:v>35501</c:v>
                </c:pt>
                <c:pt idx="45">
                  <c:v>14203</c:v>
                </c:pt>
                <c:pt idx="46">
                  <c:v>22206</c:v>
                </c:pt>
                <c:pt idx="47">
                  <c:v>10283</c:v>
                </c:pt>
                <c:pt idx="48">
                  <c:v>24913</c:v>
                </c:pt>
                <c:pt idx="49">
                  <c:v>26925</c:v>
                </c:pt>
                <c:pt idx="50">
                  <c:v>9942</c:v>
                </c:pt>
                <c:pt idx="51">
                  <c:v>32929</c:v>
                </c:pt>
                <c:pt idx="52">
                  <c:v>37829</c:v>
                </c:pt>
                <c:pt idx="53">
                  <c:v>24384</c:v>
                </c:pt>
                <c:pt idx="54">
                  <c:v>25797</c:v>
                </c:pt>
                <c:pt idx="55">
                  <c:v>12646</c:v>
                </c:pt>
                <c:pt idx="56">
                  <c:v>26663</c:v>
                </c:pt>
                <c:pt idx="57">
                  <c:v>40478</c:v>
                </c:pt>
                <c:pt idx="58">
                  <c:v>15476</c:v>
                </c:pt>
                <c:pt idx="59">
                  <c:v>10217</c:v>
                </c:pt>
                <c:pt idx="60">
                  <c:v>21939</c:v>
                </c:pt>
                <c:pt idx="61">
                  <c:v>47462</c:v>
                </c:pt>
                <c:pt idx="62">
                  <c:v>30270</c:v>
                </c:pt>
                <c:pt idx="63">
                  <c:v>5442</c:v>
                </c:pt>
                <c:pt idx="64">
                  <c:v>1083</c:v>
                </c:pt>
                <c:pt idx="65">
                  <c:v>11901</c:v>
                </c:pt>
                <c:pt idx="66">
                  <c:v>24018</c:v>
                </c:pt>
                <c:pt idx="67">
                  <c:v>38883</c:v>
                </c:pt>
                <c:pt idx="68">
                  <c:v>30575</c:v>
                </c:pt>
                <c:pt idx="69">
                  <c:v>2315</c:v>
                </c:pt>
                <c:pt idx="70">
                  <c:v>12148</c:v>
                </c:pt>
                <c:pt idx="71">
                  <c:v>36851</c:v>
                </c:pt>
                <c:pt idx="72">
                  <c:v>41215</c:v>
                </c:pt>
                <c:pt idx="73">
                  <c:v>43836</c:v>
                </c:pt>
                <c:pt idx="74">
                  <c:v>4509</c:v>
                </c:pt>
                <c:pt idx="75">
                  <c:v>27822</c:v>
                </c:pt>
                <c:pt idx="76">
                  <c:v>36397</c:v>
                </c:pt>
                <c:pt idx="77">
                  <c:v>7285</c:v>
                </c:pt>
                <c:pt idx="78">
                  <c:v>33174</c:v>
                </c:pt>
                <c:pt idx="79">
                  <c:v>6742</c:v>
                </c:pt>
                <c:pt idx="80">
                  <c:v>32478</c:v>
                </c:pt>
                <c:pt idx="81">
                  <c:v>42824</c:v>
                </c:pt>
                <c:pt idx="82">
                  <c:v>21208</c:v>
                </c:pt>
                <c:pt idx="83">
                  <c:v>44321</c:v>
                </c:pt>
                <c:pt idx="84">
                  <c:v>13116</c:v>
                </c:pt>
                <c:pt idx="85">
                  <c:v>30214</c:v>
                </c:pt>
                <c:pt idx="86">
                  <c:v>15827</c:v>
                </c:pt>
                <c:pt idx="87">
                  <c:v>46643</c:v>
                </c:pt>
                <c:pt idx="88">
                  <c:v>36484</c:v>
                </c:pt>
                <c:pt idx="89">
                  <c:v>4996</c:v>
                </c:pt>
                <c:pt idx="90">
                  <c:v>36095</c:v>
                </c:pt>
                <c:pt idx="91">
                  <c:v>16443</c:v>
                </c:pt>
                <c:pt idx="92">
                  <c:v>47812</c:v>
                </c:pt>
                <c:pt idx="93">
                  <c:v>38452</c:v>
                </c:pt>
                <c:pt idx="94">
                  <c:v>30428</c:v>
                </c:pt>
                <c:pt idx="95">
                  <c:v>9269</c:v>
                </c:pt>
                <c:pt idx="96">
                  <c:v>29533</c:v>
                </c:pt>
                <c:pt idx="97">
                  <c:v>39997</c:v>
                </c:pt>
                <c:pt idx="98">
                  <c:v>5391</c:v>
                </c:pt>
                <c:pt idx="99">
                  <c:v>22373</c:v>
                </c:pt>
                <c:pt idx="100">
                  <c:v>1810</c:v>
                </c:pt>
                <c:pt idx="101">
                  <c:v>28498</c:v>
                </c:pt>
                <c:pt idx="102">
                  <c:v>39530</c:v>
                </c:pt>
                <c:pt idx="103">
                  <c:v>37876</c:v>
                </c:pt>
                <c:pt idx="104">
                  <c:v>36103</c:v>
                </c:pt>
                <c:pt idx="105">
                  <c:v>26103</c:v>
                </c:pt>
                <c:pt idx="106">
                  <c:v>3455</c:v>
                </c:pt>
                <c:pt idx="107">
                  <c:v>40888</c:v>
                </c:pt>
                <c:pt idx="108">
                  <c:v>22724</c:v>
                </c:pt>
                <c:pt idx="109">
                  <c:v>18601</c:v>
                </c:pt>
                <c:pt idx="110">
                  <c:v>20861</c:v>
                </c:pt>
                <c:pt idx="111">
                  <c:v>46625</c:v>
                </c:pt>
                <c:pt idx="112">
                  <c:v>20692</c:v>
                </c:pt>
                <c:pt idx="113">
                  <c:v>18656</c:v>
                </c:pt>
                <c:pt idx="114">
                  <c:v>13316</c:v>
                </c:pt>
                <c:pt idx="115">
                  <c:v>49558</c:v>
                </c:pt>
                <c:pt idx="116">
                  <c:v>4683</c:v>
                </c:pt>
                <c:pt idx="117">
                  <c:v>47502</c:v>
                </c:pt>
                <c:pt idx="118">
                  <c:v>35359</c:v>
                </c:pt>
                <c:pt idx="119">
                  <c:v>14154</c:v>
                </c:pt>
                <c:pt idx="120">
                  <c:v>4313</c:v>
                </c:pt>
                <c:pt idx="121">
                  <c:v>25140</c:v>
                </c:pt>
                <c:pt idx="122">
                  <c:v>9118</c:v>
                </c:pt>
                <c:pt idx="123">
                  <c:v>39931</c:v>
                </c:pt>
                <c:pt idx="124">
                  <c:v>37132</c:v>
                </c:pt>
                <c:pt idx="125">
                  <c:v>17951</c:v>
                </c:pt>
                <c:pt idx="126">
                  <c:v>2798</c:v>
                </c:pt>
                <c:pt idx="127">
                  <c:v>15045</c:v>
                </c:pt>
                <c:pt idx="128">
                  <c:v>14548</c:v>
                </c:pt>
                <c:pt idx="129">
                  <c:v>45708</c:v>
                </c:pt>
                <c:pt idx="130">
                  <c:v>12350</c:v>
                </c:pt>
                <c:pt idx="131">
                  <c:v>40868</c:v>
                </c:pt>
                <c:pt idx="132">
                  <c:v>43122</c:v>
                </c:pt>
                <c:pt idx="133">
                  <c:v>23853</c:v>
                </c:pt>
                <c:pt idx="134">
                  <c:v>45380</c:v>
                </c:pt>
                <c:pt idx="135">
                  <c:v>7705</c:v>
                </c:pt>
                <c:pt idx="136">
                  <c:v>25525</c:v>
                </c:pt>
                <c:pt idx="137">
                  <c:v>20560</c:v>
                </c:pt>
                <c:pt idx="138">
                  <c:v>19119</c:v>
                </c:pt>
                <c:pt idx="139">
                  <c:v>43999</c:v>
                </c:pt>
                <c:pt idx="140">
                  <c:v>10825</c:v>
                </c:pt>
                <c:pt idx="141">
                  <c:v>40323</c:v>
                </c:pt>
                <c:pt idx="142">
                  <c:v>48270</c:v>
                </c:pt>
                <c:pt idx="143">
                  <c:v>18001</c:v>
                </c:pt>
                <c:pt idx="144">
                  <c:v>3314</c:v>
                </c:pt>
                <c:pt idx="145">
                  <c:v>23489</c:v>
                </c:pt>
                <c:pt idx="146">
                  <c:v>42832</c:v>
                </c:pt>
                <c:pt idx="147">
                  <c:v>24494</c:v>
                </c:pt>
                <c:pt idx="148">
                  <c:v>44097</c:v>
                </c:pt>
                <c:pt idx="149">
                  <c:v>31853</c:v>
                </c:pt>
                <c:pt idx="150">
                  <c:v>37636</c:v>
                </c:pt>
                <c:pt idx="151">
                  <c:v>22996</c:v>
                </c:pt>
                <c:pt idx="152">
                  <c:v>49772</c:v>
                </c:pt>
                <c:pt idx="153">
                  <c:v>22713</c:v>
                </c:pt>
                <c:pt idx="154">
                  <c:v>8718</c:v>
                </c:pt>
                <c:pt idx="155">
                  <c:v>39031</c:v>
                </c:pt>
                <c:pt idx="156">
                  <c:v>33799</c:v>
                </c:pt>
                <c:pt idx="157">
                  <c:v>20553</c:v>
                </c:pt>
                <c:pt idx="158">
                  <c:v>10002</c:v>
                </c:pt>
                <c:pt idx="159">
                  <c:v>30987</c:v>
                </c:pt>
                <c:pt idx="160">
                  <c:v>6296</c:v>
                </c:pt>
                <c:pt idx="161">
                  <c:v>21539</c:v>
                </c:pt>
                <c:pt idx="162">
                  <c:v>14722</c:v>
                </c:pt>
                <c:pt idx="163">
                  <c:v>11383</c:v>
                </c:pt>
                <c:pt idx="164">
                  <c:v>9480</c:v>
                </c:pt>
                <c:pt idx="165">
                  <c:v>29116</c:v>
                </c:pt>
                <c:pt idx="166">
                  <c:v>14068</c:v>
                </c:pt>
                <c:pt idx="167">
                  <c:v>35801</c:v>
                </c:pt>
                <c:pt idx="168">
                  <c:v>49077</c:v>
                </c:pt>
                <c:pt idx="169">
                  <c:v>21453</c:v>
                </c:pt>
                <c:pt idx="170">
                  <c:v>21061</c:v>
                </c:pt>
                <c:pt idx="171">
                  <c:v>20059</c:v>
                </c:pt>
                <c:pt idx="172">
                  <c:v>23140</c:v>
                </c:pt>
                <c:pt idx="173">
                  <c:v>23461</c:v>
                </c:pt>
                <c:pt idx="174">
                  <c:v>11805</c:v>
                </c:pt>
                <c:pt idx="175">
                  <c:v>15969</c:v>
                </c:pt>
                <c:pt idx="176">
                  <c:v>2436</c:v>
                </c:pt>
                <c:pt idx="177">
                  <c:v>47603</c:v>
                </c:pt>
                <c:pt idx="178">
                  <c:v>42964</c:v>
                </c:pt>
                <c:pt idx="179">
                  <c:v>39923</c:v>
                </c:pt>
                <c:pt idx="180">
                  <c:v>2293</c:v>
                </c:pt>
                <c:pt idx="181">
                  <c:v>25920</c:v>
                </c:pt>
                <c:pt idx="182">
                  <c:v>11035</c:v>
                </c:pt>
                <c:pt idx="183">
                  <c:v>20733</c:v>
                </c:pt>
                <c:pt idx="184">
                  <c:v>18693</c:v>
                </c:pt>
                <c:pt idx="185">
                  <c:v>7875</c:v>
                </c:pt>
                <c:pt idx="186">
                  <c:v>8471</c:v>
                </c:pt>
                <c:pt idx="187">
                  <c:v>14090</c:v>
                </c:pt>
                <c:pt idx="188">
                  <c:v>14216</c:v>
                </c:pt>
                <c:pt idx="189">
                  <c:v>3582</c:v>
                </c:pt>
                <c:pt idx="190">
                  <c:v>32500</c:v>
                </c:pt>
                <c:pt idx="191">
                  <c:v>6832</c:v>
                </c:pt>
                <c:pt idx="192">
                  <c:v>33381</c:v>
                </c:pt>
                <c:pt idx="193">
                  <c:v>48419</c:v>
                </c:pt>
                <c:pt idx="194">
                  <c:v>16149</c:v>
                </c:pt>
                <c:pt idx="195">
                  <c:v>7541</c:v>
                </c:pt>
                <c:pt idx="196">
                  <c:v>20042</c:v>
                </c:pt>
                <c:pt idx="197">
                  <c:v>49400</c:v>
                </c:pt>
                <c:pt idx="198">
                  <c:v>4007</c:v>
                </c:pt>
                <c:pt idx="199">
                  <c:v>12174</c:v>
                </c:pt>
              </c:numCache>
            </c:numRef>
          </c:xVal>
          <c:yVal>
            <c:numRef>
              <c:f>'Engagment Summary'!$I$2:$I$201</c:f>
              <c:numCache>
                <c:formatCode>0.00</c:formatCode>
                <c:ptCount val="200"/>
                <c:pt idx="0">
                  <c:v>0.30428616268120601</c:v>
                </c:pt>
                <c:pt idx="1">
                  <c:v>2.3491348994232664</c:v>
                </c:pt>
                <c:pt idx="2">
                  <c:v>0.28263208793603661</c:v>
                </c:pt>
                <c:pt idx="3">
                  <c:v>0.27557542170624166</c:v>
                </c:pt>
                <c:pt idx="4">
                  <c:v>1.0517322049758935</c:v>
                </c:pt>
                <c:pt idx="5">
                  <c:v>0.40530081660374973</c:v>
                </c:pt>
                <c:pt idx="6">
                  <c:v>7.3128442639386351E-2</c:v>
                </c:pt>
                <c:pt idx="7">
                  <c:v>0.24016739232334167</c:v>
                </c:pt>
                <c:pt idx="8">
                  <c:v>0.19542790614208244</c:v>
                </c:pt>
                <c:pt idx="9">
                  <c:v>0.8153584745362723</c:v>
                </c:pt>
                <c:pt idx="10">
                  <c:v>1.0551445425805821</c:v>
                </c:pt>
                <c:pt idx="11">
                  <c:v>8.8023800381871797E-2</c:v>
                </c:pt>
                <c:pt idx="12">
                  <c:v>1.7636832660385824</c:v>
                </c:pt>
                <c:pt idx="13">
                  <c:v>6.3510173036698996</c:v>
                </c:pt>
                <c:pt idx="14">
                  <c:v>0.27980604582117208</c:v>
                </c:pt>
                <c:pt idx="15">
                  <c:v>-2.8860773750305036E-2</c:v>
                </c:pt>
                <c:pt idx="16">
                  <c:v>-5.2211602419375981E-2</c:v>
                </c:pt>
                <c:pt idx="17">
                  <c:v>2.9088264703208796E-2</c:v>
                </c:pt>
                <c:pt idx="18">
                  <c:v>0.4303769366169265</c:v>
                </c:pt>
                <c:pt idx="19">
                  <c:v>8.0050669434719113E-2</c:v>
                </c:pt>
                <c:pt idx="20">
                  <c:v>2.8717173625543171</c:v>
                </c:pt>
                <c:pt idx="21">
                  <c:v>0.12276812319721568</c:v>
                </c:pt>
                <c:pt idx="22">
                  <c:v>0.140324773607655</c:v>
                </c:pt>
                <c:pt idx="23">
                  <c:v>0.21994574101175038</c:v>
                </c:pt>
                <c:pt idx="24">
                  <c:v>1.1967386439556591</c:v>
                </c:pt>
                <c:pt idx="25">
                  <c:v>-4.9009939454794309E-2</c:v>
                </c:pt>
                <c:pt idx="26">
                  <c:v>0.18982132901478749</c:v>
                </c:pt>
                <c:pt idx="27">
                  <c:v>0.10211701333265255</c:v>
                </c:pt>
                <c:pt idx="28">
                  <c:v>3.3557613568250697E-2</c:v>
                </c:pt>
                <c:pt idx="29">
                  <c:v>0.32572737872501967</c:v>
                </c:pt>
                <c:pt idx="30">
                  <c:v>0.66371458255580551</c:v>
                </c:pt>
                <c:pt idx="31">
                  <c:v>0.10340418313957282</c:v>
                </c:pt>
                <c:pt idx="32">
                  <c:v>2.2861730899256254</c:v>
                </c:pt>
                <c:pt idx="33">
                  <c:v>-7.309773488968678E-2</c:v>
                </c:pt>
                <c:pt idx="34">
                  <c:v>0.51986619096302167</c:v>
                </c:pt>
                <c:pt idx="35">
                  <c:v>0.76001216019456308</c:v>
                </c:pt>
                <c:pt idx="36">
                  <c:v>8.0371168669857163E-2</c:v>
                </c:pt>
                <c:pt idx="37">
                  <c:v>-0.15755714445670779</c:v>
                </c:pt>
                <c:pt idx="38">
                  <c:v>7.2889860753698937E-2</c:v>
                </c:pt>
                <c:pt idx="39">
                  <c:v>9.9485420240137221E-2</c:v>
                </c:pt>
                <c:pt idx="40">
                  <c:v>0.27085701202809553</c:v>
                </c:pt>
                <c:pt idx="41">
                  <c:v>0.43366318609156984</c:v>
                </c:pt>
                <c:pt idx="42">
                  <c:v>8.5080354946042956E-3</c:v>
                </c:pt>
                <c:pt idx="43">
                  <c:v>1.011348268360087</c:v>
                </c:pt>
                <c:pt idx="44">
                  <c:v>2.335271198731579E-2</c:v>
                </c:pt>
                <c:pt idx="45">
                  <c:v>0.57523759813836151</c:v>
                </c:pt>
                <c:pt idx="46">
                  <c:v>0.88256340939810773</c:v>
                </c:pt>
                <c:pt idx="47">
                  <c:v>0.21728440241071326</c:v>
                </c:pt>
                <c:pt idx="48">
                  <c:v>0.35456226214689768</c:v>
                </c:pt>
                <c:pt idx="49">
                  <c:v>9.7527544941747053E-3</c:v>
                </c:pt>
                <c:pt idx="50">
                  <c:v>0.65914381026955704</c:v>
                </c:pt>
                <c:pt idx="51">
                  <c:v>1.1713324743561855E-2</c:v>
                </c:pt>
                <c:pt idx="52">
                  <c:v>1.2306082974775983</c:v>
                </c:pt>
                <c:pt idx="53">
                  <c:v>0.21026918479944948</c:v>
                </c:pt>
                <c:pt idx="54">
                  <c:v>6.1798299135137513E-2</c:v>
                </c:pt>
                <c:pt idx="55">
                  <c:v>8.9764429025449427E-2</c:v>
                </c:pt>
                <c:pt idx="56">
                  <c:v>0.41581361392816901</c:v>
                </c:pt>
                <c:pt idx="57">
                  <c:v>0.46435400163889645</c:v>
                </c:pt>
                <c:pt idx="58">
                  <c:v>5.990134708914012E-2</c:v>
                </c:pt>
                <c:pt idx="59">
                  <c:v>1.703234597339857</c:v>
                </c:pt>
                <c:pt idx="60">
                  <c:v>0.74222825979957874</c:v>
                </c:pt>
                <c:pt idx="61">
                  <c:v>2.0668041724136478E-2</c:v>
                </c:pt>
                <c:pt idx="62">
                  <c:v>0.2867301296020186</c:v>
                </c:pt>
                <c:pt idx="63">
                  <c:v>-2.6681341404439108E-2</c:v>
                </c:pt>
                <c:pt idx="64">
                  <c:v>0.15758651286601597</c:v>
                </c:pt>
                <c:pt idx="65">
                  <c:v>-7.924822629956663E-3</c:v>
                </c:pt>
                <c:pt idx="66">
                  <c:v>0.62566104068286432</c:v>
                </c:pt>
                <c:pt idx="67">
                  <c:v>1.592351646960128</c:v>
                </c:pt>
                <c:pt idx="68">
                  <c:v>0.27682576721248608</c:v>
                </c:pt>
                <c:pt idx="69">
                  <c:v>-3.9477485703195474E-2</c:v>
                </c:pt>
                <c:pt idx="70">
                  <c:v>0.92287307798970819</c:v>
                </c:pt>
                <c:pt idx="71">
                  <c:v>1.8079694785926241</c:v>
                </c:pt>
                <c:pt idx="72">
                  <c:v>1.000090820213374</c:v>
                </c:pt>
                <c:pt idx="73">
                  <c:v>0.43810281972675247</c:v>
                </c:pt>
                <c:pt idx="74">
                  <c:v>2.2456063766826309E-2</c:v>
                </c:pt>
                <c:pt idx="75">
                  <c:v>0.10019784829366461</c:v>
                </c:pt>
                <c:pt idx="76">
                  <c:v>0.31501331857780751</c:v>
                </c:pt>
                <c:pt idx="77">
                  <c:v>0.18083871090552606</c:v>
                </c:pt>
                <c:pt idx="78">
                  <c:v>-6.4563614529395824E-3</c:v>
                </c:pt>
                <c:pt idx="79">
                  <c:v>0.18425729749269498</c:v>
                </c:pt>
                <c:pt idx="80">
                  <c:v>7.3371064356504964E-2</c:v>
                </c:pt>
                <c:pt idx="81">
                  <c:v>1.8687212668142346</c:v>
                </c:pt>
                <c:pt idx="82">
                  <c:v>0.24623771231227276</c:v>
                </c:pt>
                <c:pt idx="83">
                  <c:v>0.57763419096181545</c:v>
                </c:pt>
                <c:pt idx="84">
                  <c:v>0.166223212379012</c:v>
                </c:pt>
                <c:pt idx="85">
                  <c:v>0.18382090319876945</c:v>
                </c:pt>
                <c:pt idx="86">
                  <c:v>1.5381417584701726E-2</c:v>
                </c:pt>
                <c:pt idx="87">
                  <c:v>0.54180958515762179</c:v>
                </c:pt>
                <c:pt idx="88">
                  <c:v>2.5430053699827071</c:v>
                </c:pt>
                <c:pt idx="89">
                  <c:v>0.16918035252172714</c:v>
                </c:pt>
                <c:pt idx="90">
                  <c:v>0.36508153411678962</c:v>
                </c:pt>
                <c:pt idx="91">
                  <c:v>0.40317597627286211</c:v>
                </c:pt>
                <c:pt idx="92">
                  <c:v>1.7550345364335054</c:v>
                </c:pt>
                <c:pt idx="93">
                  <c:v>-3.4250669665215859E-2</c:v>
                </c:pt>
                <c:pt idx="94">
                  <c:v>1.3172212358971422</c:v>
                </c:pt>
                <c:pt idx="95">
                  <c:v>0.28821299683708945</c:v>
                </c:pt>
                <c:pt idx="96">
                  <c:v>-9.5914811987394058E-2</c:v>
                </c:pt>
                <c:pt idx="97">
                  <c:v>2.124852809675163E-2</c:v>
                </c:pt>
                <c:pt idx="98">
                  <c:v>9.1277744844858608E-2</c:v>
                </c:pt>
                <c:pt idx="99">
                  <c:v>1.9887634863023914E-2</c:v>
                </c:pt>
                <c:pt idx="100">
                  <c:v>0.59936417126309005</c:v>
                </c:pt>
                <c:pt idx="101">
                  <c:v>0.39565022381564841</c:v>
                </c:pt>
                <c:pt idx="102">
                  <c:v>0.11079079758069074</c:v>
                </c:pt>
                <c:pt idx="103">
                  <c:v>1.4152074838090669</c:v>
                </c:pt>
                <c:pt idx="104">
                  <c:v>0.38511033114748661</c:v>
                </c:pt>
                <c:pt idx="105">
                  <c:v>0.36277109484146308</c:v>
                </c:pt>
                <c:pt idx="106">
                  <c:v>0.37850431101244258</c:v>
                </c:pt>
                <c:pt idx="107">
                  <c:v>0.13151115811166245</c:v>
                </c:pt>
                <c:pt idx="108">
                  <c:v>0.5072161583928636</c:v>
                </c:pt>
                <c:pt idx="109">
                  <c:v>3.8307014117515763</c:v>
                </c:pt>
                <c:pt idx="110">
                  <c:v>8.3806473528412688</c:v>
                </c:pt>
                <c:pt idx="111">
                  <c:v>0.12679964770499277</c:v>
                </c:pt>
                <c:pt idx="112">
                  <c:v>0.30759118725472717</c:v>
                </c:pt>
                <c:pt idx="113">
                  <c:v>0.33115688467227011</c:v>
                </c:pt>
                <c:pt idx="114">
                  <c:v>0.41536387893013998</c:v>
                </c:pt>
                <c:pt idx="115">
                  <c:v>0.17917737946946316</c:v>
                </c:pt>
                <c:pt idx="116">
                  <c:v>0.24359408109118752</c:v>
                </c:pt>
                <c:pt idx="117">
                  <c:v>0.78202834584935776</c:v>
                </c:pt>
                <c:pt idx="118">
                  <c:v>1.123041457611657</c:v>
                </c:pt>
                <c:pt idx="119">
                  <c:v>6.3113158835445047</c:v>
                </c:pt>
                <c:pt idx="120">
                  <c:v>1.2535155251271271</c:v>
                </c:pt>
                <c:pt idx="121">
                  <c:v>0.46806929323118035</c:v>
                </c:pt>
                <c:pt idx="122">
                  <c:v>0.55634189738421069</c:v>
                </c:pt>
                <c:pt idx="123">
                  <c:v>1.0669005078738718</c:v>
                </c:pt>
                <c:pt idx="124">
                  <c:v>0.19361810704529764</c:v>
                </c:pt>
                <c:pt idx="125">
                  <c:v>0.64766839378238339</c:v>
                </c:pt>
                <c:pt idx="126">
                  <c:v>0.32008104408927779</c:v>
                </c:pt>
                <c:pt idx="127">
                  <c:v>0.88669950738916259</c:v>
                </c:pt>
                <c:pt idx="128">
                  <c:v>0.49282654051223052</c:v>
                </c:pt>
                <c:pt idx="129">
                  <c:v>0.13262186302564766</c:v>
                </c:pt>
                <c:pt idx="130">
                  <c:v>-2.9514486693885584E-2</c:v>
                </c:pt>
                <c:pt idx="131">
                  <c:v>6.2409087760615085</c:v>
                </c:pt>
                <c:pt idx="132">
                  <c:v>0.40971536250166152</c:v>
                </c:pt>
                <c:pt idx="133">
                  <c:v>8.905295209493419E-2</c:v>
                </c:pt>
                <c:pt idx="134">
                  <c:v>0.71621491270377158</c:v>
                </c:pt>
                <c:pt idx="135">
                  <c:v>0.2148693125665902</c:v>
                </c:pt>
                <c:pt idx="136">
                  <c:v>-4.6464109274628081E-2</c:v>
                </c:pt>
                <c:pt idx="137">
                  <c:v>0.27948348464241363</c:v>
                </c:pt>
                <c:pt idx="138">
                  <c:v>0.54309533874905258</c:v>
                </c:pt>
                <c:pt idx="139">
                  <c:v>0.26534161921203286</c:v>
                </c:pt>
                <c:pt idx="140">
                  <c:v>0.30720567989168157</c:v>
                </c:pt>
                <c:pt idx="141">
                  <c:v>0.5500525785553031</c:v>
                </c:pt>
                <c:pt idx="142">
                  <c:v>0.32046588643454949</c:v>
                </c:pt>
                <c:pt idx="143">
                  <c:v>-7.4972485467156139E-2</c:v>
                </c:pt>
                <c:pt idx="144">
                  <c:v>0.77568587198256844</c:v>
                </c:pt>
                <c:pt idx="145">
                  <c:v>0.29427518601934727</c:v>
                </c:pt>
                <c:pt idx="146">
                  <c:v>0.94958208908059605</c:v>
                </c:pt>
                <c:pt idx="147">
                  <c:v>0.29756017144741181</c:v>
                </c:pt>
                <c:pt idx="148">
                  <c:v>0.21291007252180397</c:v>
                </c:pt>
                <c:pt idx="149">
                  <c:v>1.5147617822744293</c:v>
                </c:pt>
                <c:pt idx="150">
                  <c:v>-2.5410691720235155E-2</c:v>
                </c:pt>
                <c:pt idx="151">
                  <c:v>1.1086997546706925</c:v>
                </c:pt>
                <c:pt idx="152">
                  <c:v>1.08675033985647</c:v>
                </c:pt>
                <c:pt idx="153">
                  <c:v>0.74073109768798173</c:v>
                </c:pt>
                <c:pt idx="154">
                  <c:v>0.22333891680625351</c:v>
                </c:pt>
                <c:pt idx="155">
                  <c:v>0.21885278918832757</c:v>
                </c:pt>
                <c:pt idx="156">
                  <c:v>0.51052298518124528</c:v>
                </c:pt>
                <c:pt idx="157">
                  <c:v>-3.2435585380545737E-2</c:v>
                </c:pt>
                <c:pt idx="158">
                  <c:v>0.19268070513850935</c:v>
                </c:pt>
                <c:pt idx="159">
                  <c:v>0.14029055733207443</c:v>
                </c:pt>
                <c:pt idx="160">
                  <c:v>4.5873346287504703E-2</c:v>
                </c:pt>
                <c:pt idx="161">
                  <c:v>0.26639909400836753</c:v>
                </c:pt>
                <c:pt idx="162">
                  <c:v>10.825114265095021</c:v>
                </c:pt>
                <c:pt idx="163">
                  <c:v>1.2622336046830696</c:v>
                </c:pt>
                <c:pt idx="164">
                  <c:v>0.16572027392586453</c:v>
                </c:pt>
                <c:pt idx="165">
                  <c:v>0.32619275185675578</c:v>
                </c:pt>
                <c:pt idx="166">
                  <c:v>6.9173294769824052</c:v>
                </c:pt>
                <c:pt idx="167">
                  <c:v>7.9689298043728432</c:v>
                </c:pt>
                <c:pt idx="168">
                  <c:v>0.12636715002329982</c:v>
                </c:pt>
                <c:pt idx="169">
                  <c:v>0.1268716241173857</c:v>
                </c:pt>
                <c:pt idx="170">
                  <c:v>0.13832962243592781</c:v>
                </c:pt>
                <c:pt idx="171">
                  <c:v>8.8022790888170319E-2</c:v>
                </c:pt>
                <c:pt idx="172">
                  <c:v>0.22667798288422092</c:v>
                </c:pt>
                <c:pt idx="173">
                  <c:v>0.13889264193260734</c:v>
                </c:pt>
                <c:pt idx="174">
                  <c:v>0.84497101083942527</c:v>
                </c:pt>
                <c:pt idx="175">
                  <c:v>0.33667947287974553</c:v>
                </c:pt>
                <c:pt idx="176">
                  <c:v>0.21195852212872357</c:v>
                </c:pt>
                <c:pt idx="177">
                  <c:v>1.0436528865268369</c:v>
                </c:pt>
                <c:pt idx="178">
                  <c:v>3.4032917638311533</c:v>
                </c:pt>
                <c:pt idx="179">
                  <c:v>7.1981098934404214E-2</c:v>
                </c:pt>
                <c:pt idx="180">
                  <c:v>-0.2399448126930806</c:v>
                </c:pt>
                <c:pt idx="181">
                  <c:v>-0.24750024750024749</c:v>
                </c:pt>
                <c:pt idx="182">
                  <c:v>3.7191155522184875E-2</c:v>
                </c:pt>
                <c:pt idx="183">
                  <c:v>3.9239564305527365E-2</c:v>
                </c:pt>
                <c:pt idx="184">
                  <c:v>0.95802484827301337</c:v>
                </c:pt>
                <c:pt idx="185">
                  <c:v>0.27690774864725926</c:v>
                </c:pt>
                <c:pt idx="186">
                  <c:v>0.22734693021737243</c:v>
                </c:pt>
                <c:pt idx="187">
                  <c:v>0.60267642955734835</c:v>
                </c:pt>
                <c:pt idx="188">
                  <c:v>0.34511059684624079</c:v>
                </c:pt>
                <c:pt idx="189">
                  <c:v>0.2014855668727483</c:v>
                </c:pt>
                <c:pt idx="190">
                  <c:v>0.19454574184929271</c:v>
                </c:pt>
                <c:pt idx="191">
                  <c:v>5.5706165282028861</c:v>
                </c:pt>
                <c:pt idx="192">
                  <c:v>0.41995793722733987</c:v>
                </c:pt>
                <c:pt idx="193">
                  <c:v>8.0965664826031306E-2</c:v>
                </c:pt>
                <c:pt idx="194">
                  <c:v>0.311749015203442</c:v>
                </c:pt>
                <c:pt idx="195">
                  <c:v>0.58190830903102841</c:v>
                </c:pt>
                <c:pt idx="196">
                  <c:v>0.35361871958419905</c:v>
                </c:pt>
                <c:pt idx="197">
                  <c:v>0.11156186612576065</c:v>
                </c:pt>
                <c:pt idx="198">
                  <c:v>5.8952701962314107E-2</c:v>
                </c:pt>
                <c:pt idx="199">
                  <c:v>-0.4081978730104896</c:v>
                </c:pt>
              </c:numCache>
            </c:numRef>
          </c:yVal>
          <c:smooth val="0"/>
          <c:extLst>
            <c:ext xmlns:c16="http://schemas.microsoft.com/office/drawing/2014/chart" uri="{C3380CC4-5D6E-409C-BE32-E72D297353CC}">
              <c16:uniqueId val="{00000000-0ED0-44BD-BF71-8C5E8CF8BEA2}"/>
            </c:ext>
          </c:extLst>
        </c:ser>
        <c:dLbls>
          <c:showLegendKey val="0"/>
          <c:showVal val="0"/>
          <c:showCatName val="0"/>
          <c:showSerName val="0"/>
          <c:showPercent val="0"/>
          <c:showBubbleSize val="0"/>
        </c:dLbls>
        <c:axId val="1073980239"/>
        <c:axId val="103287359"/>
      </c:scatterChart>
      <c:valAx>
        <c:axId val="10739802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rgbClr val="FF0000"/>
                    </a:solidFill>
                    <a:latin typeface="+mn-lt"/>
                    <a:ea typeface="+mn-ea"/>
                    <a:cs typeface="+mn-cs"/>
                  </a:defRPr>
                </a:pPr>
                <a:r>
                  <a:rPr lang="en-US" baseline="0">
                    <a:solidFill>
                      <a:srgbClr val="FF0000"/>
                    </a:solidFill>
                  </a:rPr>
                  <a:t>AD SPEND</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03287359"/>
        <c:crosses val="autoZero"/>
        <c:crossBetween val="midCat"/>
      </c:valAx>
      <c:valAx>
        <c:axId val="1032873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FF0000"/>
                    </a:solidFill>
                    <a:latin typeface="+mn-lt"/>
                    <a:ea typeface="+mn-ea"/>
                    <a:cs typeface="+mn-cs"/>
                  </a:defRPr>
                </a:pPr>
                <a:r>
                  <a:rPr lang="en-US" baseline="0">
                    <a:solidFill>
                      <a:srgbClr val="FF0000"/>
                    </a:solidFill>
                  </a:rPr>
                  <a:t>GROWTH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FF0000"/>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07398023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38186</xdr:colOff>
      <xdr:row>5</xdr:row>
      <xdr:rowOff>19049</xdr:rowOff>
    </xdr:from>
    <xdr:to>
      <xdr:col>6</xdr:col>
      <xdr:colOff>3257550</xdr:colOff>
      <xdr:row>17</xdr:row>
      <xdr:rowOff>133350</xdr:rowOff>
    </xdr:to>
    <xdr:sp macro="" textlink="">
      <xdr:nvSpPr>
        <xdr:cNvPr id="3" name="Rectangle: Rounded Corners 2">
          <a:extLst>
            <a:ext uri="{FF2B5EF4-FFF2-40B4-BE49-F238E27FC236}">
              <a16:creationId xmlns:a16="http://schemas.microsoft.com/office/drawing/2014/main" id="{2D6EC1F9-AB90-79E6-13E2-09C6AEFEB3E5}"/>
            </a:ext>
          </a:extLst>
        </xdr:cNvPr>
        <xdr:cNvSpPr/>
      </xdr:nvSpPr>
      <xdr:spPr>
        <a:xfrm>
          <a:off x="1314536" y="828674"/>
          <a:ext cx="7200814" cy="2743201"/>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u="sng">
              <a:solidFill>
                <a:schemeClr val="accent3"/>
              </a:solidFill>
            </a:rPr>
            <a:t>ENGAG</a:t>
          </a:r>
          <a:r>
            <a:rPr lang="en-US" sz="1800" b="1" u="sng" baseline="0">
              <a:solidFill>
                <a:schemeClr val="accent3"/>
              </a:solidFill>
            </a:rPr>
            <a:t>E</a:t>
          </a:r>
          <a:r>
            <a:rPr lang="en-US" sz="1800" b="1" u="sng">
              <a:solidFill>
                <a:schemeClr val="accent3"/>
              </a:solidFill>
            </a:rPr>
            <a:t>MENT - </a:t>
          </a:r>
          <a:r>
            <a:rPr lang="en-US" sz="1800" b="1" u="sng" baseline="0">
              <a:solidFill>
                <a:schemeClr val="accent3"/>
              </a:solidFill>
            </a:rPr>
            <a:t> ANALYSIS :</a:t>
          </a:r>
          <a:endParaRPr lang="en-US" sz="1600" b="1" u="sng">
            <a:solidFill>
              <a:schemeClr val="accent3"/>
            </a:solidFill>
          </a:endParaRPr>
        </a:p>
        <a:p>
          <a:pPr algn="l"/>
          <a:r>
            <a:rPr lang="en-US" sz="1600" b="1" u="none">
              <a:solidFill>
                <a:schemeClr val="accent3"/>
              </a:solidFill>
            </a:rPr>
            <a:t>FORMULAE USED:</a:t>
          </a:r>
        </a:p>
        <a:p>
          <a:pPr algn="l"/>
          <a:r>
            <a:rPr lang="en-US" sz="1200"/>
            <a:t>    </a:t>
          </a:r>
        </a:p>
        <a:p>
          <a:pPr algn="l"/>
          <a:r>
            <a:rPr lang="en-US" sz="1200" baseline="0">
              <a:solidFill>
                <a:schemeClr val="accent3"/>
              </a:solidFill>
            </a:rPr>
            <a:t>1. Engagement rate (overall)    </a:t>
          </a:r>
          <a:r>
            <a:rPr lang="en-US" sz="1200" b="1" baseline="0">
              <a:solidFill>
                <a:schemeClr val="accent3"/>
              </a:solidFill>
            </a:rPr>
            <a:t> </a:t>
          </a:r>
          <a:r>
            <a:rPr lang="en-US" sz="1200" baseline="0">
              <a:solidFill>
                <a:schemeClr val="accent3"/>
              </a:solidFill>
            </a:rPr>
            <a:t>:    ( ∑Likes + ∑Shares  + ∑Comments ) ∕ ∑ impressions</a:t>
          </a:r>
        </a:p>
        <a:p>
          <a:pPr algn="l"/>
          <a:endParaRPr lang="en-US" sz="1200" baseline="0">
            <a:solidFill>
              <a:schemeClr val="accent3"/>
            </a:solidFill>
          </a:endParaRPr>
        </a:p>
        <a:p>
          <a:pPr algn="l"/>
          <a:r>
            <a:rPr lang="en-US" sz="1200" baseline="0">
              <a:solidFill>
                <a:schemeClr val="accent3"/>
              </a:solidFill>
            </a:rPr>
            <a:t>2.Engagement rate (you tube)  </a:t>
          </a:r>
          <a:r>
            <a:rPr lang="en-US" sz="1200" b="0" baseline="0">
              <a:solidFill>
                <a:schemeClr val="accent3"/>
              </a:solidFill>
            </a:rPr>
            <a:t>:</a:t>
          </a:r>
          <a:r>
            <a:rPr lang="en-US" sz="1200" baseline="0">
              <a:solidFill>
                <a:schemeClr val="accent3"/>
              </a:solidFill>
            </a:rPr>
            <a:t>    ∑ (likes + Shares + Comments)for YouTube ∕ ∑(Impressions) for YouTube</a:t>
          </a:r>
        </a:p>
        <a:p>
          <a:pPr algn="l"/>
          <a:r>
            <a:rPr lang="en-US" sz="1200" baseline="0">
              <a:solidFill>
                <a:schemeClr val="accent3"/>
              </a:solidFill>
            </a:rPr>
            <a:t>   </a:t>
          </a:r>
        </a:p>
        <a:p>
          <a:pPr algn="l"/>
          <a:r>
            <a:rPr lang="en-US" sz="1200" baseline="0">
              <a:solidFill>
                <a:schemeClr val="accent3"/>
              </a:solidFill>
            </a:rPr>
            <a:t>3.</a:t>
          </a:r>
          <a:r>
            <a:rPr lang="en-US" sz="1100" baseline="0">
              <a:solidFill>
                <a:schemeClr val="accent3"/>
              </a:solidFill>
              <a:effectLst/>
              <a:latin typeface="+mn-lt"/>
              <a:ea typeface="+mn-ea"/>
              <a:cs typeface="+mn-cs"/>
            </a:rPr>
            <a:t>Engagement rate (Instagram)   </a:t>
          </a:r>
          <a:r>
            <a:rPr lang="en-US" sz="1100" b="1" baseline="0">
              <a:solidFill>
                <a:schemeClr val="accent3"/>
              </a:solidFill>
              <a:effectLst/>
              <a:latin typeface="+mn-lt"/>
              <a:ea typeface="+mn-ea"/>
              <a:cs typeface="+mn-cs"/>
            </a:rPr>
            <a:t>: </a:t>
          </a:r>
          <a:r>
            <a:rPr lang="en-US" sz="1100" baseline="0">
              <a:solidFill>
                <a:schemeClr val="accent3"/>
              </a:solidFill>
              <a:effectLst/>
              <a:latin typeface="+mn-lt"/>
              <a:ea typeface="+mn-ea"/>
              <a:cs typeface="+mn-cs"/>
            </a:rPr>
            <a:t>   ∑ (likes + Shares + Comments)for Instagram ∕ ∑(Impressions) for Insttagram</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aseline="0">
            <a:solidFill>
              <a:schemeClr val="accent3"/>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accent3"/>
              </a:solidFill>
              <a:effectLst/>
              <a:latin typeface="+mn-lt"/>
              <a:ea typeface="+mn-ea"/>
              <a:cs typeface="+mn-cs"/>
            </a:rPr>
            <a:t>4.Engagement rate (Facebook)    </a:t>
          </a:r>
          <a:r>
            <a:rPr lang="en-US" sz="1100" b="1" baseline="0">
              <a:solidFill>
                <a:schemeClr val="accent3"/>
              </a:solidFill>
              <a:effectLst/>
              <a:latin typeface="+mn-lt"/>
              <a:ea typeface="+mn-ea"/>
              <a:cs typeface="+mn-cs"/>
            </a:rPr>
            <a:t>: </a:t>
          </a:r>
          <a:r>
            <a:rPr lang="en-US" sz="1100" baseline="0">
              <a:solidFill>
                <a:schemeClr val="accent3"/>
              </a:solidFill>
              <a:effectLst/>
              <a:latin typeface="+mn-lt"/>
              <a:ea typeface="+mn-ea"/>
              <a:cs typeface="+mn-cs"/>
            </a:rPr>
            <a:t>   ∑ (likes + Shares + Comments)for Facebook ∕ ∑(Impressions) for Facebook</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aseline="0">
            <a:solidFill>
              <a:schemeClr val="accent3"/>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accent3"/>
              </a:solidFill>
              <a:effectLst/>
              <a:latin typeface="+mn-lt"/>
              <a:ea typeface="+mn-ea"/>
              <a:cs typeface="+mn-cs"/>
            </a:rPr>
            <a:t>5..Engagement rate (Twitter)   </a:t>
          </a:r>
          <a:r>
            <a:rPr lang="en-US" sz="1100" b="1" baseline="0">
              <a:solidFill>
                <a:schemeClr val="accent3"/>
              </a:solidFill>
              <a:effectLst/>
              <a:latin typeface="+mn-lt"/>
              <a:ea typeface="+mn-ea"/>
              <a:cs typeface="+mn-cs"/>
            </a:rPr>
            <a:t>: </a:t>
          </a:r>
          <a:r>
            <a:rPr lang="en-US" sz="1100" baseline="0">
              <a:solidFill>
                <a:schemeClr val="accent3"/>
              </a:solidFill>
              <a:effectLst/>
              <a:latin typeface="+mn-lt"/>
              <a:ea typeface="+mn-ea"/>
              <a:cs typeface="+mn-cs"/>
            </a:rPr>
            <a:t>   ∑ (likes + Shares + Comments)for Instagram ∕ ∑(Impressions) for Twitter</a:t>
          </a:r>
          <a:endParaRPr lang="en-US" sz="1200">
            <a:solidFill>
              <a:schemeClr val="accent3"/>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a:solidFill>
              <a:schemeClr val="accent3"/>
            </a:solidFill>
            <a:effectLst/>
          </a:endParaRPr>
        </a:p>
        <a:p>
          <a:pPr algn="l"/>
          <a:endParaRPr lang="en-US" sz="1050" baseline="0"/>
        </a:p>
        <a:p>
          <a:pPr algn="l"/>
          <a:endParaRPr lang="en-US" sz="1200"/>
        </a:p>
      </xdr:txBody>
    </xdr:sp>
    <xdr:clientData/>
  </xdr:twoCellAnchor>
  <xdr:twoCellAnchor>
    <xdr:from>
      <xdr:col>2</xdr:col>
      <xdr:colOff>24563</xdr:colOff>
      <xdr:row>35</xdr:row>
      <xdr:rowOff>20054</xdr:rowOff>
    </xdr:from>
    <xdr:to>
      <xdr:col>6</xdr:col>
      <xdr:colOff>495800</xdr:colOff>
      <xdr:row>37</xdr:row>
      <xdr:rowOff>247650</xdr:rowOff>
    </xdr:to>
    <xdr:sp macro="" textlink="">
      <xdr:nvSpPr>
        <xdr:cNvPr id="5" name="Rectangle: Rounded Corners 4">
          <a:extLst>
            <a:ext uri="{FF2B5EF4-FFF2-40B4-BE49-F238E27FC236}">
              <a16:creationId xmlns:a16="http://schemas.microsoft.com/office/drawing/2014/main" id="{56243D4C-428B-3ED1-D370-EB8D81723F40}"/>
            </a:ext>
          </a:extLst>
        </xdr:cNvPr>
        <xdr:cNvSpPr/>
      </xdr:nvSpPr>
      <xdr:spPr>
        <a:xfrm>
          <a:off x="1300913" y="8344904"/>
          <a:ext cx="6891087" cy="741946"/>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u="sng"/>
            <a:t>Conclusion</a:t>
          </a:r>
          <a:r>
            <a:rPr lang="en-US" sz="1400" b="1" u="sng" baseline="0"/>
            <a:t> :</a:t>
          </a:r>
          <a:r>
            <a:rPr lang="en-US" sz="1400" baseline="0"/>
            <a:t> Engagement rate is better for Instagram and Facebook as it is above the overall Engagement rate.(over all meeans combining all the four platform). </a:t>
          </a:r>
          <a:endParaRPr lang="en-US" sz="1400"/>
        </a:p>
      </xdr:txBody>
    </xdr:sp>
    <xdr:clientData/>
  </xdr:twoCellAnchor>
  <xdr:twoCellAnchor>
    <xdr:from>
      <xdr:col>2</xdr:col>
      <xdr:colOff>19051</xdr:colOff>
      <xdr:row>42</xdr:row>
      <xdr:rowOff>28574</xdr:rowOff>
    </xdr:from>
    <xdr:to>
      <xdr:col>5</xdr:col>
      <xdr:colOff>1819275</xdr:colOff>
      <xdr:row>51</xdr:row>
      <xdr:rowOff>104775</xdr:rowOff>
    </xdr:to>
    <xdr:sp macro="" textlink="">
      <xdr:nvSpPr>
        <xdr:cNvPr id="2" name="Rectangle: Rounded Corners 1">
          <a:extLst>
            <a:ext uri="{FF2B5EF4-FFF2-40B4-BE49-F238E27FC236}">
              <a16:creationId xmlns:a16="http://schemas.microsoft.com/office/drawing/2014/main" id="{5C080666-BB7F-4108-381A-8AEFF5B8231A}"/>
            </a:ext>
          </a:extLst>
        </xdr:cNvPr>
        <xdr:cNvSpPr/>
      </xdr:nvSpPr>
      <xdr:spPr>
        <a:xfrm>
          <a:off x="1295401" y="9610724"/>
          <a:ext cx="6315074" cy="1657351"/>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u="sng">
              <a:solidFill>
                <a:schemeClr val="accent3"/>
              </a:solidFill>
            </a:rPr>
            <a:t>STEPS TO IDENTIFY TOP</a:t>
          </a:r>
          <a:r>
            <a:rPr lang="en-US" sz="1400" b="1" u="sng" baseline="0">
              <a:solidFill>
                <a:schemeClr val="accent3"/>
              </a:solidFill>
            </a:rPr>
            <a:t> 10 POSTS WITH HIGHEST ENGAGEMENT RATE :</a:t>
          </a:r>
        </a:p>
        <a:p>
          <a:pPr algn="l"/>
          <a:endParaRPr lang="en-US" sz="1400" b="1" baseline="0"/>
        </a:p>
        <a:p>
          <a:pPr algn="l"/>
          <a:r>
            <a:rPr lang="en-US" sz="1400" b="0" baseline="0">
              <a:solidFill>
                <a:schemeClr val="accent3"/>
              </a:solidFill>
            </a:rPr>
            <a:t>1.Calculate engagement rate for each post using the formula ((likes + shares + commeents) /  impressions)*100, using custom column in power query ditor.</a:t>
          </a:r>
        </a:p>
        <a:p>
          <a:pPr algn="l"/>
          <a:r>
            <a:rPr lang="en-US" sz="1400" b="0" baseline="0">
              <a:solidFill>
                <a:schemeClr val="accent3"/>
              </a:solidFill>
            </a:rPr>
            <a:t>2.Sorted  the engagement column in descending order.</a:t>
          </a:r>
        </a:p>
        <a:p>
          <a:pPr algn="l"/>
          <a:r>
            <a:rPr lang="en-US" sz="1400" b="0" baseline="0">
              <a:solidFill>
                <a:schemeClr val="accent3"/>
              </a:solidFill>
            </a:rPr>
            <a:t>3.Selected the top ten posts with the highest engagement rate.</a:t>
          </a:r>
        </a:p>
        <a:p>
          <a:pPr algn="l"/>
          <a:endParaRPr lang="en-US" sz="1400" b="1"/>
        </a:p>
      </xdr:txBody>
    </xdr:sp>
    <xdr:clientData/>
  </xdr:twoCellAnchor>
  <xdr:twoCellAnchor>
    <xdr:from>
      <xdr:col>2</xdr:col>
      <xdr:colOff>28576</xdr:colOff>
      <xdr:row>18</xdr:row>
      <xdr:rowOff>9525</xdr:rowOff>
    </xdr:from>
    <xdr:to>
      <xdr:col>6</xdr:col>
      <xdr:colOff>3267075</xdr:colOff>
      <xdr:row>20</xdr:row>
      <xdr:rowOff>200025</xdr:rowOff>
    </xdr:to>
    <xdr:sp macro="" textlink="">
      <xdr:nvSpPr>
        <xdr:cNvPr id="4" name="Rectangle: Rounded Corners 3">
          <a:extLst>
            <a:ext uri="{FF2B5EF4-FFF2-40B4-BE49-F238E27FC236}">
              <a16:creationId xmlns:a16="http://schemas.microsoft.com/office/drawing/2014/main" id="{2868F7B5-B730-915D-9044-46674F642125}"/>
            </a:ext>
          </a:extLst>
        </xdr:cNvPr>
        <xdr:cNvSpPr/>
      </xdr:nvSpPr>
      <xdr:spPr>
        <a:xfrm>
          <a:off x="1304926" y="3629025"/>
          <a:ext cx="9591674" cy="59055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      </a:t>
          </a:r>
          <a:r>
            <a:rPr lang="en-US" sz="1400" b="1" u="sng">
              <a:solidFill>
                <a:schemeClr val="accent3"/>
              </a:solidFill>
            </a:rPr>
            <a:t>The table</a:t>
          </a:r>
          <a:r>
            <a:rPr lang="en-US" sz="1400" b="1" u="sng" baseline="0">
              <a:solidFill>
                <a:schemeClr val="accent3"/>
              </a:solidFill>
            </a:rPr>
            <a:t> below formed using the sumif functionality and sum functionality</a:t>
          </a:r>
        </a:p>
        <a:p>
          <a:pPr algn="l"/>
          <a:endParaRPr lang="en-US" sz="1600"/>
        </a:p>
      </xdr:txBody>
    </xdr:sp>
    <xdr:clientData/>
  </xdr:twoCellAnchor>
  <xdr:twoCellAnchor editAs="oneCell">
    <xdr:from>
      <xdr:col>6</xdr:col>
      <xdr:colOff>415653</xdr:colOff>
      <xdr:row>69</xdr:row>
      <xdr:rowOff>190499</xdr:rowOff>
    </xdr:from>
    <xdr:to>
      <xdr:col>6</xdr:col>
      <xdr:colOff>2240443</xdr:colOff>
      <xdr:row>81</xdr:row>
      <xdr:rowOff>76199</xdr:rowOff>
    </xdr:to>
    <mc:AlternateContent xmlns:mc="http://schemas.openxmlformats.org/markup-compatibility/2006" xmlns:a14="http://schemas.microsoft.com/office/drawing/2010/main">
      <mc:Choice Requires="a14">
        <xdr:graphicFrame macro="">
          <xdr:nvGraphicFramePr>
            <xdr:cNvPr id="6" name="Content Type 1">
              <a:extLst>
                <a:ext uri="{FF2B5EF4-FFF2-40B4-BE49-F238E27FC236}">
                  <a16:creationId xmlns:a16="http://schemas.microsoft.com/office/drawing/2014/main" id="{3D55E25F-45B1-4BA7-B890-FBBFC9F2ED63}"/>
                </a:ext>
              </a:extLst>
            </xdr:cNvPr>
            <xdr:cNvGraphicFramePr/>
          </xdr:nvGraphicFramePr>
          <xdr:xfrm>
            <a:off x="0" y="0"/>
            <a:ext cx="0" cy="0"/>
          </xdr:xfrm>
          <a:graphic>
            <a:graphicData uri="http://schemas.microsoft.com/office/drawing/2010/slicer">
              <sle:slicer xmlns:sle="http://schemas.microsoft.com/office/drawing/2010/slicer" name="Content Type 1"/>
            </a:graphicData>
          </a:graphic>
        </xdr:graphicFrame>
      </mc:Choice>
      <mc:Fallback xmlns="">
        <xdr:sp macro="" textlink="">
          <xdr:nvSpPr>
            <xdr:cNvPr id="0" name=""/>
            <xdr:cNvSpPr>
              <a:spLocks noTextEdit="1"/>
            </xdr:cNvSpPr>
          </xdr:nvSpPr>
          <xdr:spPr>
            <a:xfrm>
              <a:off x="8407128" y="15154275"/>
              <a:ext cx="1824790" cy="1962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19844</xdr:colOff>
      <xdr:row>68</xdr:row>
      <xdr:rowOff>28575</xdr:rowOff>
    </xdr:from>
    <xdr:to>
      <xdr:col>5</xdr:col>
      <xdr:colOff>1828799</xdr:colOff>
      <xdr:row>70</xdr:row>
      <xdr:rowOff>173832</xdr:rowOff>
    </xdr:to>
    <xdr:sp macro="" textlink="">
      <xdr:nvSpPr>
        <xdr:cNvPr id="9" name="Rectangle: Rounded Corners 8">
          <a:extLst>
            <a:ext uri="{FF2B5EF4-FFF2-40B4-BE49-F238E27FC236}">
              <a16:creationId xmlns:a16="http://schemas.microsoft.com/office/drawing/2014/main" id="{DE6671D9-287E-4AE4-6602-4F1BCC7D1AD9}"/>
            </a:ext>
          </a:extLst>
        </xdr:cNvPr>
        <xdr:cNvSpPr/>
      </xdr:nvSpPr>
      <xdr:spPr>
        <a:xfrm>
          <a:off x="1296194" y="13839825"/>
          <a:ext cx="6323805" cy="459582"/>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u="sng">
              <a:solidFill>
                <a:schemeClr val="accent3"/>
              </a:solidFill>
            </a:rPr>
            <a:t>Total Likes,</a:t>
          </a:r>
          <a:r>
            <a:rPr lang="en-US" sz="1600" b="1" u="sng" baseline="0">
              <a:solidFill>
                <a:schemeClr val="accent3"/>
              </a:solidFill>
            </a:rPr>
            <a:t> Shares, Comments, by Content Type and Platorm :</a:t>
          </a:r>
          <a:endParaRPr lang="en-US" sz="1600" b="1" u="sng">
            <a:solidFill>
              <a:schemeClr val="accent3"/>
            </a:solidFill>
          </a:endParaRPr>
        </a:p>
      </xdr:txBody>
    </xdr:sp>
    <xdr:clientData/>
  </xdr:twoCellAnchor>
  <xdr:twoCellAnchor>
    <xdr:from>
      <xdr:col>2</xdr:col>
      <xdr:colOff>28578</xdr:colOff>
      <xdr:row>86</xdr:row>
      <xdr:rowOff>47624</xdr:rowOff>
    </xdr:from>
    <xdr:to>
      <xdr:col>4</xdr:col>
      <xdr:colOff>962026</xdr:colOff>
      <xdr:row>88</xdr:row>
      <xdr:rowOff>161924</xdr:rowOff>
    </xdr:to>
    <xdr:sp macro="" textlink="">
      <xdr:nvSpPr>
        <xdr:cNvPr id="11" name="Rectangle: Rounded Corners 10">
          <a:extLst>
            <a:ext uri="{FF2B5EF4-FFF2-40B4-BE49-F238E27FC236}">
              <a16:creationId xmlns:a16="http://schemas.microsoft.com/office/drawing/2014/main" id="{45813FCF-C170-650B-1313-90C7A5F9EE61}"/>
            </a:ext>
          </a:extLst>
        </xdr:cNvPr>
        <xdr:cNvSpPr/>
      </xdr:nvSpPr>
      <xdr:spPr>
        <a:xfrm>
          <a:off x="1304928" y="16878299"/>
          <a:ext cx="2971798" cy="428625"/>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u="sng">
              <a:solidFill>
                <a:schemeClr val="accent3"/>
              </a:solidFill>
            </a:rPr>
            <a:t>Average</a:t>
          </a:r>
          <a:r>
            <a:rPr lang="en-US" sz="1400" b="1" u="sng" baseline="0">
              <a:solidFill>
                <a:schemeClr val="accent3"/>
              </a:solidFill>
            </a:rPr>
            <a:t> Clicks per post by Hashtag</a:t>
          </a:r>
          <a:endParaRPr lang="en-US" sz="1400" b="1" u="sng">
            <a:solidFill>
              <a:schemeClr val="accent3"/>
            </a:solidFill>
          </a:endParaRPr>
        </a:p>
      </xdr:txBody>
    </xdr:sp>
    <xdr:clientData/>
  </xdr:twoCellAnchor>
  <xdr:twoCellAnchor>
    <xdr:from>
      <xdr:col>1</xdr:col>
      <xdr:colOff>638871</xdr:colOff>
      <xdr:row>109</xdr:row>
      <xdr:rowOff>136071</xdr:rowOff>
    </xdr:from>
    <xdr:to>
      <xdr:col>7</xdr:col>
      <xdr:colOff>38878</xdr:colOff>
      <xdr:row>122</xdr:row>
      <xdr:rowOff>165230</xdr:rowOff>
    </xdr:to>
    <xdr:sp macro="" textlink="">
      <xdr:nvSpPr>
        <xdr:cNvPr id="13" name="Rectangle: Rounded Corners 12">
          <a:extLst>
            <a:ext uri="{FF2B5EF4-FFF2-40B4-BE49-F238E27FC236}">
              <a16:creationId xmlns:a16="http://schemas.microsoft.com/office/drawing/2014/main" id="{E26EDC0F-6D58-1D14-9A1B-162B3466A743}"/>
            </a:ext>
          </a:extLst>
        </xdr:cNvPr>
        <xdr:cNvSpPr/>
      </xdr:nvSpPr>
      <xdr:spPr>
        <a:xfrm>
          <a:off x="1367825" y="21129949"/>
          <a:ext cx="10859165" cy="2429847"/>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u="sng"/>
            <a:t>Concluion</a:t>
          </a:r>
          <a:r>
            <a:rPr lang="en-US" sz="1800" b="1" u="sng" baseline="0"/>
            <a:t> of above pivot table </a:t>
          </a:r>
        </a:p>
        <a:p>
          <a:pPr algn="l"/>
          <a:endParaRPr lang="en-US" sz="1600" u="sng" baseline="0"/>
        </a:p>
        <a:p>
          <a:pPr algn="l"/>
          <a:r>
            <a:rPr lang="en-US" sz="1400" baseline="0"/>
            <a:t>from the above pivot table we can conclude that the </a:t>
          </a:r>
          <a:r>
            <a:rPr lang="en-US" sz="1400" baseline="0">
              <a:solidFill>
                <a:schemeClr val="tx2">
                  <a:lumMod val="75000"/>
                  <a:lumOff val="25000"/>
                </a:schemeClr>
              </a:solidFill>
            </a:rPr>
            <a:t>#StyleWithMyntra </a:t>
          </a:r>
          <a:r>
            <a:rPr lang="en-US" sz="1400" baseline="0"/>
            <a:t>hashtag has highest average engagement rate and having good average reach  but average clicks is slightly belolw than overalll average clicks on the other hand </a:t>
          </a:r>
          <a:r>
            <a:rPr lang="en-US" sz="1400" baseline="0">
              <a:solidFill>
                <a:schemeClr val="tx2">
                  <a:lumMod val="75000"/>
                  <a:lumOff val="25000"/>
                </a:schemeClr>
              </a:solidFill>
            </a:rPr>
            <a:t>#MyntraTrend </a:t>
          </a:r>
          <a:r>
            <a:rPr lang="en-US" sz="1400" baseline="0"/>
            <a:t>hashtag has highest average clicks and Reach but engagement rate is slightly below than overall average engagement rate.</a:t>
          </a:r>
        </a:p>
        <a:p>
          <a:pPr algn="l"/>
          <a:r>
            <a:rPr lang="en-US" sz="1400" baseline="0"/>
            <a:t>But  engagement rate measures the qualilty of interaction, it shows the users are actively responding not just seeing the post. so it is the strongest contender of trendiness.</a:t>
          </a:r>
          <a:endParaRPr lang="en-US" sz="1200" baseline="0"/>
        </a:p>
        <a:p>
          <a:pPr algn="l"/>
          <a:endParaRPr lang="en-US" sz="1200" baseline="0"/>
        </a:p>
        <a:p>
          <a:pPr algn="l"/>
          <a:r>
            <a:rPr lang="en-US" sz="1200" baseline="0"/>
            <a:t>So,  </a:t>
          </a:r>
          <a:r>
            <a:rPr lang="en-US" sz="1200" baseline="0">
              <a:solidFill>
                <a:schemeClr val="tx2">
                  <a:lumMod val="75000"/>
                  <a:lumOff val="25000"/>
                </a:schemeClr>
              </a:solidFill>
            </a:rPr>
            <a:t>#StyleWithMyntra  </a:t>
          </a:r>
          <a:r>
            <a:rPr lang="en-US" sz="1200" baseline="0">
              <a:solidFill>
                <a:schemeClr val="bg1"/>
              </a:solidFill>
            </a:rPr>
            <a:t>is the trendy hashtag.</a:t>
          </a:r>
          <a:endParaRPr lang="en-US" sz="1400" baseline="0">
            <a:solidFill>
              <a:schemeClr val="bg1"/>
            </a:solidFill>
          </a:endParaRPr>
        </a:p>
      </xdr:txBody>
    </xdr:sp>
    <xdr:clientData/>
  </xdr:twoCellAnchor>
  <xdr:twoCellAnchor>
    <xdr:from>
      <xdr:col>2</xdr:col>
      <xdr:colOff>19051</xdr:colOff>
      <xdr:row>98</xdr:row>
      <xdr:rowOff>104775</xdr:rowOff>
    </xdr:from>
    <xdr:to>
      <xdr:col>3</xdr:col>
      <xdr:colOff>2447925</xdr:colOff>
      <xdr:row>100</xdr:row>
      <xdr:rowOff>104775</xdr:rowOff>
    </xdr:to>
    <xdr:sp macro="" textlink="">
      <xdr:nvSpPr>
        <xdr:cNvPr id="14" name="Rectangle: Rounded Corners 13">
          <a:extLst>
            <a:ext uri="{FF2B5EF4-FFF2-40B4-BE49-F238E27FC236}">
              <a16:creationId xmlns:a16="http://schemas.microsoft.com/office/drawing/2014/main" id="{FF8606AE-B3F7-C1FB-5F7A-A91D6EC65732}"/>
            </a:ext>
          </a:extLst>
        </xdr:cNvPr>
        <xdr:cNvSpPr/>
      </xdr:nvSpPr>
      <xdr:spPr>
        <a:xfrm>
          <a:off x="1295401" y="19221450"/>
          <a:ext cx="3609974" cy="38100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u="sng">
              <a:solidFill>
                <a:schemeClr val="accent3"/>
              </a:solidFill>
            </a:rPr>
            <a:t>Identifying Trendy Hashtag</a:t>
          </a:r>
        </a:p>
      </xdr:txBody>
    </xdr:sp>
    <xdr:clientData/>
  </xdr:twoCellAnchor>
  <xdr:twoCellAnchor>
    <xdr:from>
      <xdr:col>29</xdr:col>
      <xdr:colOff>543855</xdr:colOff>
      <xdr:row>23</xdr:row>
      <xdr:rowOff>63886</xdr:rowOff>
    </xdr:from>
    <xdr:to>
      <xdr:col>30</xdr:col>
      <xdr:colOff>726456</xdr:colOff>
      <xdr:row>26</xdr:row>
      <xdr:rowOff>63887</xdr:rowOff>
    </xdr:to>
    <xdr:sp macro="" textlink="">
      <xdr:nvSpPr>
        <xdr:cNvPr id="8" name="Rectangle 7">
          <a:extLst>
            <a:ext uri="{FF2B5EF4-FFF2-40B4-BE49-F238E27FC236}">
              <a16:creationId xmlns:a16="http://schemas.microsoft.com/office/drawing/2014/main" id="{F4604502-1576-F154-BF19-1A6C43AEC2D9}"/>
            </a:ext>
          </a:extLst>
        </xdr:cNvPr>
        <xdr:cNvSpPr/>
      </xdr:nvSpPr>
      <xdr:spPr>
        <a:xfrm>
          <a:off x="35646965" y="4942545"/>
          <a:ext cx="914400" cy="90603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104776</xdr:colOff>
      <xdr:row>10</xdr:row>
      <xdr:rowOff>104775</xdr:rowOff>
    </xdr:from>
    <xdr:to>
      <xdr:col>9</xdr:col>
      <xdr:colOff>20052</xdr:colOff>
      <xdr:row>16</xdr:row>
      <xdr:rowOff>76200</xdr:rowOff>
    </xdr:to>
    <xdr:sp macro="" textlink="">
      <xdr:nvSpPr>
        <xdr:cNvPr id="2" name="Rectangle: Rounded Corners 1">
          <a:extLst>
            <a:ext uri="{FF2B5EF4-FFF2-40B4-BE49-F238E27FC236}">
              <a16:creationId xmlns:a16="http://schemas.microsoft.com/office/drawing/2014/main" id="{0678CCBC-44D0-7716-5973-8313FF88B066}"/>
            </a:ext>
          </a:extLst>
        </xdr:cNvPr>
        <xdr:cNvSpPr/>
      </xdr:nvSpPr>
      <xdr:spPr>
        <a:xfrm>
          <a:off x="4656723" y="1498433"/>
          <a:ext cx="5349540" cy="1515478"/>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accent3"/>
              </a:solidFill>
            </a:rPr>
            <a:t>conclusion</a:t>
          </a:r>
          <a:endParaRPr lang="en-US" sz="200" b="1">
            <a:solidFill>
              <a:schemeClr val="accent3"/>
            </a:solidFill>
          </a:endParaRPr>
        </a:p>
        <a:p>
          <a:pPr algn="l"/>
          <a:r>
            <a:rPr lang="en-US" sz="1200">
              <a:solidFill>
                <a:schemeClr val="accent3"/>
              </a:solidFill>
            </a:rPr>
            <a:t>Instagram</a:t>
          </a:r>
          <a:r>
            <a:rPr lang="en-US" sz="1200" baseline="0">
              <a:solidFill>
                <a:schemeClr val="accent3"/>
              </a:solidFill>
            </a:rPr>
            <a:t> has the highest engagement rate because it's average engagement rate is higher among all the platform. But one more thing none of the platform overformed and none of the platfom underperform, as  average of enagagement rate  for each platform are between 5.55 - 5.73</a:t>
          </a:r>
          <a:endParaRPr lang="en-US" sz="1200">
            <a:solidFill>
              <a:schemeClr val="accent3"/>
            </a:solidFill>
          </a:endParaRPr>
        </a:p>
      </xdr:txBody>
    </xdr:sp>
    <xdr:clientData/>
  </xdr:twoCellAnchor>
  <xdr:twoCellAnchor>
    <xdr:from>
      <xdr:col>5</xdr:col>
      <xdr:colOff>76201</xdr:colOff>
      <xdr:row>7</xdr:row>
      <xdr:rowOff>1</xdr:rowOff>
    </xdr:from>
    <xdr:to>
      <xdr:col>9</xdr:col>
      <xdr:colOff>1</xdr:colOff>
      <xdr:row>9</xdr:row>
      <xdr:rowOff>209551</xdr:rowOff>
    </xdr:to>
    <xdr:sp macro="" textlink="">
      <xdr:nvSpPr>
        <xdr:cNvPr id="3" name="Rectangle: Rounded Corners 2">
          <a:extLst>
            <a:ext uri="{FF2B5EF4-FFF2-40B4-BE49-F238E27FC236}">
              <a16:creationId xmlns:a16="http://schemas.microsoft.com/office/drawing/2014/main" id="{BF3EE729-3F32-B2BF-0035-9294D78CD91A}"/>
            </a:ext>
          </a:extLst>
        </xdr:cNvPr>
        <xdr:cNvSpPr/>
      </xdr:nvSpPr>
      <xdr:spPr>
        <a:xfrm>
          <a:off x="4628148" y="671764"/>
          <a:ext cx="5358064" cy="69081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a:t>FORMULA</a:t>
          </a:r>
          <a:r>
            <a:rPr lang="en-US" sz="1100" b="1" u="sng" baseline="0"/>
            <a:t> USED:</a:t>
          </a:r>
          <a:endParaRPr lang="en-US" sz="1100" b="1" u="sng"/>
        </a:p>
        <a:p>
          <a:pPr algn="l"/>
          <a:r>
            <a:rPr lang="en-US" sz="1100"/>
            <a:t>AVERAGEIF(Engagment_Summary[Platform],"Platorm",Engagment_Summary[Engagement_Rate])</a:t>
          </a:r>
        </a:p>
      </xdr:txBody>
    </xdr:sp>
    <xdr:clientData/>
  </xdr:twoCellAnchor>
  <xdr:twoCellAnchor>
    <xdr:from>
      <xdr:col>3</xdr:col>
      <xdr:colOff>20052</xdr:colOff>
      <xdr:row>24</xdr:row>
      <xdr:rowOff>252</xdr:rowOff>
    </xdr:from>
    <xdr:to>
      <xdr:col>6</xdr:col>
      <xdr:colOff>0</xdr:colOff>
      <xdr:row>36</xdr:row>
      <xdr:rowOff>52640</xdr:rowOff>
    </xdr:to>
    <xdr:graphicFrame macro="">
      <xdr:nvGraphicFramePr>
        <xdr:cNvPr id="5" name="Chart 4">
          <a:extLst>
            <a:ext uri="{FF2B5EF4-FFF2-40B4-BE49-F238E27FC236}">
              <a16:creationId xmlns:a16="http://schemas.microsoft.com/office/drawing/2014/main" id="{C06485D7-B878-BBBA-84BC-B507ED7FDE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xdr:colOff>
      <xdr:row>45</xdr:row>
      <xdr:rowOff>8271</xdr:rowOff>
    </xdr:from>
    <xdr:to>
      <xdr:col>6</xdr:col>
      <xdr:colOff>20053</xdr:colOff>
      <xdr:row>62</xdr:row>
      <xdr:rowOff>50131</xdr:rowOff>
    </xdr:to>
    <xdr:graphicFrame macro="">
      <xdr:nvGraphicFramePr>
        <xdr:cNvPr id="6" name="Chart 5">
          <a:extLst>
            <a:ext uri="{FF2B5EF4-FFF2-40B4-BE49-F238E27FC236}">
              <a16:creationId xmlns:a16="http://schemas.microsoft.com/office/drawing/2014/main" id="{26D8E8EF-BC16-6395-0253-B71481317F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7521</xdr:colOff>
      <xdr:row>65</xdr:row>
      <xdr:rowOff>40106</xdr:rowOff>
    </xdr:from>
    <xdr:to>
      <xdr:col>4</xdr:col>
      <xdr:colOff>3642669</xdr:colOff>
      <xdr:row>67</xdr:row>
      <xdr:rowOff>130343</xdr:rowOff>
    </xdr:to>
    <xdr:sp macro="" textlink="">
      <xdr:nvSpPr>
        <xdr:cNvPr id="8" name="Rectangle: Rounded Corners 7">
          <a:extLst>
            <a:ext uri="{FF2B5EF4-FFF2-40B4-BE49-F238E27FC236}">
              <a16:creationId xmlns:a16="http://schemas.microsoft.com/office/drawing/2014/main" id="{4F010D8F-22EA-FC61-CC0E-CB917340DCA7}"/>
            </a:ext>
          </a:extLst>
        </xdr:cNvPr>
        <xdr:cNvSpPr/>
      </xdr:nvSpPr>
      <xdr:spPr>
        <a:xfrm>
          <a:off x="2774920" y="13053315"/>
          <a:ext cx="5076769" cy="399156"/>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u="sng">
              <a:solidFill>
                <a:schemeClr val="accent3"/>
              </a:solidFill>
            </a:rPr>
            <a:t>Insights</a:t>
          </a:r>
          <a:r>
            <a:rPr lang="en-US" sz="2000" b="1" u="sng" baseline="0">
              <a:solidFill>
                <a:schemeClr val="accent3"/>
              </a:solidFill>
            </a:rPr>
            <a:t> from the above pivot table</a:t>
          </a:r>
          <a:endParaRPr lang="en-US" sz="2000" b="1">
            <a:solidFill>
              <a:schemeClr val="accent3"/>
            </a:solidFill>
          </a:endParaRPr>
        </a:p>
      </xdr:txBody>
    </xdr:sp>
    <xdr:clientData/>
  </xdr:twoCellAnchor>
  <xdr:twoCellAnchor>
    <xdr:from>
      <xdr:col>5</xdr:col>
      <xdr:colOff>47626</xdr:colOff>
      <xdr:row>69</xdr:row>
      <xdr:rowOff>47625</xdr:rowOff>
    </xdr:from>
    <xdr:to>
      <xdr:col>12</xdr:col>
      <xdr:colOff>595314</xdr:colOff>
      <xdr:row>71</xdr:row>
      <xdr:rowOff>327742</xdr:rowOff>
    </xdr:to>
    <xdr:sp macro="" textlink="">
      <xdr:nvSpPr>
        <xdr:cNvPr id="10" name="Rectangle 9">
          <a:extLst>
            <a:ext uri="{FF2B5EF4-FFF2-40B4-BE49-F238E27FC236}">
              <a16:creationId xmlns:a16="http://schemas.microsoft.com/office/drawing/2014/main" id="{F4F1FFAC-58CA-D342-30B5-C14B62602DF8}"/>
            </a:ext>
          </a:extLst>
        </xdr:cNvPr>
        <xdr:cNvSpPr/>
      </xdr:nvSpPr>
      <xdr:spPr>
        <a:xfrm>
          <a:off x="7933916" y="14458028"/>
          <a:ext cx="10717930" cy="2103182"/>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accent3"/>
              </a:solidFill>
              <a:latin typeface="Abadi" panose="020F0502020204030204" pitchFamily="34" charset="0"/>
            </a:rPr>
            <a:t> </a:t>
          </a:r>
        </a:p>
        <a:p>
          <a:pPr algn="l"/>
          <a:r>
            <a:rPr lang="en-US" sz="1800" b="1">
              <a:solidFill>
                <a:schemeClr val="accent3"/>
              </a:solidFill>
              <a:latin typeface="Abadi" panose="020F0502020204030204" pitchFamily="34" charset="0"/>
            </a:rPr>
            <a:t>" Myntra</a:t>
          </a:r>
          <a:r>
            <a:rPr lang="en-US" sz="1800" b="1" baseline="0">
              <a:solidFill>
                <a:schemeClr val="accent3"/>
              </a:solidFill>
              <a:latin typeface="Abadi" panose="020F0502020204030204" pitchFamily="34" charset="0"/>
            </a:rPr>
            <a:t> should dopt the multi-platform strategy with defined objectives</a:t>
          </a:r>
          <a:r>
            <a:rPr lang="en-US" sz="1600" b="1" baseline="0">
              <a:solidFill>
                <a:schemeClr val="accent3"/>
              </a:solidFill>
              <a:latin typeface="Abadi" panose="020F0502020204030204" pitchFamily="34" charset="0"/>
            </a:rPr>
            <a:t> </a:t>
          </a:r>
        </a:p>
        <a:p>
          <a:pPr algn="l"/>
          <a:r>
            <a:rPr lang="en-US" sz="1800" b="1" baseline="0">
              <a:solidFill>
                <a:schemeClr val="accent3"/>
              </a:solidFill>
              <a:latin typeface="Abadi" panose="020F0502020204030204" pitchFamily="34" charset="0"/>
            </a:rPr>
            <a:t>  for each platfom intagram should remain the primary engagement and            </a:t>
          </a:r>
        </a:p>
        <a:p>
          <a:pPr algn="l"/>
          <a:r>
            <a:rPr lang="en-US" sz="1800" b="1" baseline="0">
              <a:solidFill>
                <a:schemeClr val="accent3"/>
              </a:solidFill>
              <a:latin typeface="Abadi" panose="020F0502020204030204" pitchFamily="34" charset="0"/>
            </a:rPr>
            <a:t>  conveersion platform Twitter should be used for product annoucement </a:t>
          </a:r>
        </a:p>
        <a:p>
          <a:pPr algn="l"/>
          <a:r>
            <a:rPr lang="en-US" sz="1800" b="1" baseline="0">
              <a:solidFill>
                <a:schemeClr val="accent3"/>
              </a:solidFill>
              <a:latin typeface="Abadi" panose="020F0502020204030204" pitchFamily="34" charset="0"/>
            </a:rPr>
            <a:t>  and real - time communication, and you tube should support product     </a:t>
          </a:r>
        </a:p>
        <a:p>
          <a:pPr algn="l"/>
          <a:r>
            <a:rPr lang="en-US" sz="1800" b="1" baseline="0">
              <a:solidFill>
                <a:schemeClr val="accent3"/>
              </a:solidFill>
              <a:latin typeface="Abadi" panose="020F0502020204030204" pitchFamily="34" charset="0"/>
            </a:rPr>
            <a:t>  demonstration and brand storytelling. facebook should be used selectively</a:t>
          </a:r>
        </a:p>
        <a:p>
          <a:pPr algn="l"/>
          <a:r>
            <a:rPr lang="en-US" sz="1800" b="1" baseline="0">
              <a:solidFill>
                <a:schemeClr val="accent3"/>
              </a:solidFill>
              <a:latin typeface="Abadi" panose="020F0502020204030204" pitchFamily="34" charset="0"/>
            </a:rPr>
            <a:t>  for retargeting."</a:t>
          </a:r>
        </a:p>
      </xdr:txBody>
    </xdr:sp>
    <xdr:clientData/>
  </xdr:twoCellAnchor>
  <xdr:twoCellAnchor>
    <xdr:from>
      <xdr:col>4</xdr:col>
      <xdr:colOff>40105</xdr:colOff>
      <xdr:row>1</xdr:row>
      <xdr:rowOff>30079</xdr:rowOff>
    </xdr:from>
    <xdr:to>
      <xdr:col>4</xdr:col>
      <xdr:colOff>3655540</xdr:colOff>
      <xdr:row>3</xdr:row>
      <xdr:rowOff>170448</xdr:rowOff>
    </xdr:to>
    <xdr:sp macro="" textlink="">
      <xdr:nvSpPr>
        <xdr:cNvPr id="4" name="Rectangle 3">
          <a:extLst>
            <a:ext uri="{FF2B5EF4-FFF2-40B4-BE49-F238E27FC236}">
              <a16:creationId xmlns:a16="http://schemas.microsoft.com/office/drawing/2014/main" id="{31B7B97B-6D48-9825-4A53-73CFFDA52E46}"/>
            </a:ext>
          </a:extLst>
        </xdr:cNvPr>
        <xdr:cNvSpPr/>
      </xdr:nvSpPr>
      <xdr:spPr>
        <a:xfrm>
          <a:off x="4249125" y="210282"/>
          <a:ext cx="3615435" cy="500774"/>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u="sng">
              <a:solidFill>
                <a:schemeClr val="accent3"/>
              </a:solidFill>
            </a:rPr>
            <a:t>Platforms</a:t>
          </a:r>
          <a:r>
            <a:rPr lang="en-US" sz="2000" b="1" u="sng" baseline="0">
              <a:solidFill>
                <a:schemeClr val="accent3"/>
              </a:solidFill>
            </a:rPr>
            <a:t> Engagement Rate</a:t>
          </a:r>
          <a:endParaRPr lang="en-US" sz="2000" b="1" u="sng">
            <a:solidFill>
              <a:schemeClr val="accent3"/>
            </a:solidFill>
          </a:endParaRPr>
        </a:p>
      </xdr:txBody>
    </xdr:sp>
    <xdr:clientData/>
  </xdr:twoCellAnchor>
  <xdr:twoCellAnchor>
    <xdr:from>
      <xdr:col>3</xdr:col>
      <xdr:colOff>40106</xdr:colOff>
      <xdr:row>20</xdr:row>
      <xdr:rowOff>30079</xdr:rowOff>
    </xdr:from>
    <xdr:to>
      <xdr:col>4</xdr:col>
      <xdr:colOff>3188369</xdr:colOff>
      <xdr:row>22</xdr:row>
      <xdr:rowOff>160421</xdr:rowOff>
    </xdr:to>
    <xdr:sp macro="" textlink="">
      <xdr:nvSpPr>
        <xdr:cNvPr id="7" name="Rectangle 6">
          <a:extLst>
            <a:ext uri="{FF2B5EF4-FFF2-40B4-BE49-F238E27FC236}">
              <a16:creationId xmlns:a16="http://schemas.microsoft.com/office/drawing/2014/main" id="{439599D7-E70D-CE6C-985B-9276F52E3845}"/>
            </a:ext>
          </a:extLst>
        </xdr:cNvPr>
        <xdr:cNvSpPr/>
      </xdr:nvSpPr>
      <xdr:spPr>
        <a:xfrm>
          <a:off x="2466474" y="4692316"/>
          <a:ext cx="4411579" cy="511342"/>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u="sng">
              <a:solidFill>
                <a:schemeClr val="accent3"/>
              </a:solidFill>
            </a:rPr>
            <a:t>Followers</a:t>
          </a:r>
          <a:r>
            <a:rPr lang="en-US" sz="2000" b="1" u="sng" baseline="0">
              <a:solidFill>
                <a:schemeClr val="accent3"/>
              </a:solidFill>
            </a:rPr>
            <a:t> Growth Rate Across Patorm</a:t>
          </a:r>
          <a:endParaRPr lang="en-US" sz="2000" b="1" u="sng">
            <a:solidFill>
              <a:schemeClr val="accent3"/>
            </a:solidFill>
          </a:endParaRPr>
        </a:p>
      </xdr:txBody>
    </xdr:sp>
    <xdr:clientData/>
  </xdr:twoCellAnchor>
  <xdr:twoCellAnchor>
    <xdr:from>
      <xdr:col>3</xdr:col>
      <xdr:colOff>40107</xdr:colOff>
      <xdr:row>39</xdr:row>
      <xdr:rowOff>30078</xdr:rowOff>
    </xdr:from>
    <xdr:to>
      <xdr:col>5</xdr:col>
      <xdr:colOff>1814763</xdr:colOff>
      <xdr:row>43</xdr:row>
      <xdr:rowOff>110289</xdr:rowOff>
    </xdr:to>
    <xdr:sp macro="" textlink="">
      <xdr:nvSpPr>
        <xdr:cNvPr id="9" name="Rectangle 8">
          <a:extLst>
            <a:ext uri="{FF2B5EF4-FFF2-40B4-BE49-F238E27FC236}">
              <a16:creationId xmlns:a16="http://schemas.microsoft.com/office/drawing/2014/main" id="{89058EF1-576A-8974-2B75-92F0360B4B93}"/>
            </a:ext>
          </a:extLst>
        </xdr:cNvPr>
        <xdr:cNvSpPr/>
      </xdr:nvSpPr>
      <xdr:spPr>
        <a:xfrm>
          <a:off x="2466475" y="8492289"/>
          <a:ext cx="6256420" cy="60157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u="sng">
              <a:solidFill>
                <a:schemeClr val="accent3"/>
              </a:solidFill>
            </a:rPr>
            <a:t>Visualization</a:t>
          </a:r>
          <a:r>
            <a:rPr lang="en-US" sz="2000" b="1" u="sng" baseline="0">
              <a:solidFill>
                <a:schemeClr val="accent3"/>
              </a:solidFill>
            </a:rPr>
            <a:t> Of Engagement VS AD Spend</a:t>
          </a:r>
          <a:endParaRPr lang="en-US" sz="2000" b="1" u="sng">
            <a:solidFill>
              <a:schemeClr val="accent3"/>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47624</xdr:colOff>
      <xdr:row>18</xdr:row>
      <xdr:rowOff>38100</xdr:rowOff>
    </xdr:from>
    <xdr:to>
      <xdr:col>4</xdr:col>
      <xdr:colOff>600075</xdr:colOff>
      <xdr:row>24</xdr:row>
      <xdr:rowOff>171450</xdr:rowOff>
    </xdr:to>
    <xdr:sp macro="" textlink="">
      <xdr:nvSpPr>
        <xdr:cNvPr id="3" name="Rectangle 2">
          <a:extLst>
            <a:ext uri="{FF2B5EF4-FFF2-40B4-BE49-F238E27FC236}">
              <a16:creationId xmlns:a16="http://schemas.microsoft.com/office/drawing/2014/main" id="{99054E5C-9FCD-C9A6-F35D-6C3A049C030F}"/>
            </a:ext>
          </a:extLst>
        </xdr:cNvPr>
        <xdr:cNvSpPr/>
      </xdr:nvSpPr>
      <xdr:spPr>
        <a:xfrm>
          <a:off x="47624" y="3914775"/>
          <a:ext cx="4981576" cy="1276350"/>
        </a:xfrm>
        <a:prstGeom prst="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400" u="sng">
              <a:solidFill>
                <a:schemeClr val="accent3"/>
              </a:solidFill>
            </a:rPr>
            <a:t>Conclusion:</a:t>
          </a:r>
        </a:p>
        <a:p>
          <a:pPr algn="l"/>
          <a:endParaRPr lang="en-US" sz="1400">
            <a:solidFill>
              <a:schemeClr val="accent3"/>
            </a:solidFill>
          </a:endParaRPr>
        </a:p>
        <a:p>
          <a:pPr algn="l"/>
          <a:r>
            <a:rPr lang="en-US" sz="1400">
              <a:solidFill>
                <a:schemeClr val="accent3"/>
              </a:solidFill>
            </a:rPr>
            <a:t>#StyleWithMyntra is the </a:t>
          </a:r>
          <a:r>
            <a:rPr lang="en-US" sz="1400" baseline="0">
              <a:solidFill>
                <a:schemeClr val="accent3"/>
              </a:solidFill>
            </a:rPr>
            <a:t> most frequently  used myntra hashtag,</a:t>
          </a:r>
        </a:p>
        <a:p>
          <a:pPr algn="l"/>
          <a:r>
            <a:rPr lang="en-US" sz="1200" baseline="0">
              <a:solidFill>
                <a:schemeClr val="accent3"/>
              </a:solidFill>
            </a:rPr>
            <a:t> </a:t>
          </a:r>
          <a:r>
            <a:rPr lang="en-US" sz="1400" baseline="0">
              <a:solidFill>
                <a:schemeClr val="accent3"/>
              </a:solidFill>
            </a:rPr>
            <a:t>appearing  104 times, indicating it is thee brand 's  campaign </a:t>
          </a:r>
        </a:p>
        <a:p>
          <a:pPr algn="l"/>
          <a:r>
            <a:rPr lang="en-US" sz="1200" baseline="0">
              <a:solidFill>
                <a:schemeClr val="accent3"/>
              </a:solidFill>
            </a:rPr>
            <a:t>  </a:t>
          </a:r>
          <a:r>
            <a:rPr lang="en-US" sz="1400" baseline="0">
              <a:solidFill>
                <a:schemeClr val="accent3"/>
              </a:solidFill>
            </a:rPr>
            <a:t>or  engagement - driven hashtag</a:t>
          </a:r>
          <a:endParaRPr lang="en-US" sz="1200" baseline="0">
            <a:solidFill>
              <a:schemeClr val="accent3"/>
            </a:solidFill>
          </a:endParaRPr>
        </a:p>
        <a:p>
          <a:pPr algn="l"/>
          <a:endParaRPr lang="en-US" sz="1100"/>
        </a:p>
      </xdr:txBody>
    </xdr:sp>
    <xdr:clientData/>
  </xdr:twoCellAnchor>
  <xdr:twoCellAnchor>
    <xdr:from>
      <xdr:col>0</xdr:col>
      <xdr:colOff>9131</xdr:colOff>
      <xdr:row>0</xdr:row>
      <xdr:rowOff>40789</xdr:rowOff>
    </xdr:from>
    <xdr:to>
      <xdr:col>2</xdr:col>
      <xdr:colOff>1306635</xdr:colOff>
      <xdr:row>3</xdr:row>
      <xdr:rowOff>109904</xdr:rowOff>
    </xdr:to>
    <xdr:sp macro="" textlink="">
      <xdr:nvSpPr>
        <xdr:cNvPr id="2" name="Rectangle 1">
          <a:extLst>
            <a:ext uri="{FF2B5EF4-FFF2-40B4-BE49-F238E27FC236}">
              <a16:creationId xmlns:a16="http://schemas.microsoft.com/office/drawing/2014/main" id="{C8A338D8-139D-74D4-592F-8769B7B92FAE}"/>
            </a:ext>
          </a:extLst>
        </xdr:cNvPr>
        <xdr:cNvSpPr/>
      </xdr:nvSpPr>
      <xdr:spPr>
        <a:xfrm>
          <a:off x="9131" y="40789"/>
          <a:ext cx="4545773" cy="472096"/>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u="sng">
              <a:solidFill>
                <a:schemeClr val="accent3"/>
              </a:solidFill>
            </a:rPr>
            <a:t>Most</a:t>
          </a:r>
          <a:r>
            <a:rPr lang="en-US" sz="1800" b="1" u="sng" baseline="0">
              <a:solidFill>
                <a:schemeClr val="accent3"/>
              </a:solidFill>
            </a:rPr>
            <a:t>  Frequently Used Hashtag </a:t>
          </a:r>
          <a:endParaRPr lang="en-US" sz="1800" b="1" u="sng">
            <a:solidFill>
              <a:schemeClr val="accent3"/>
            </a:solidFill>
          </a:endParaRPr>
        </a:p>
      </xdr:txBody>
    </xdr:sp>
    <xdr:clientData/>
  </xdr:twoCellAnchor>
  <xdr:twoCellAnchor>
    <xdr:from>
      <xdr:col>3</xdr:col>
      <xdr:colOff>123826</xdr:colOff>
      <xdr:row>1</xdr:row>
      <xdr:rowOff>47625</xdr:rowOff>
    </xdr:from>
    <xdr:to>
      <xdr:col>10</xdr:col>
      <xdr:colOff>38101</xdr:colOff>
      <xdr:row>15</xdr:row>
      <xdr:rowOff>104775</xdr:rowOff>
    </xdr:to>
    <xdr:graphicFrame macro="">
      <xdr:nvGraphicFramePr>
        <xdr:cNvPr id="4" name="Chart 3">
          <a:extLst>
            <a:ext uri="{FF2B5EF4-FFF2-40B4-BE49-F238E27FC236}">
              <a16:creationId xmlns:a16="http://schemas.microsoft.com/office/drawing/2014/main" id="{726DAEF3-B93A-262B-6DFB-88CF8E9C9A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19051</xdr:rowOff>
    </xdr:from>
    <xdr:to>
      <xdr:col>5</xdr:col>
      <xdr:colOff>287734</xdr:colOff>
      <xdr:row>29</xdr:row>
      <xdr:rowOff>123825</xdr:rowOff>
    </xdr:to>
    <xdr:sp macro="" textlink="">
      <xdr:nvSpPr>
        <xdr:cNvPr id="5" name="Rectangle 4">
          <a:extLst>
            <a:ext uri="{FF2B5EF4-FFF2-40B4-BE49-F238E27FC236}">
              <a16:creationId xmlns:a16="http://schemas.microsoft.com/office/drawing/2014/main" id="{8F440472-D124-7393-C47B-C9272D6E3A6A}"/>
            </a:ext>
          </a:extLst>
        </xdr:cNvPr>
        <xdr:cNvSpPr/>
      </xdr:nvSpPr>
      <xdr:spPr>
        <a:xfrm>
          <a:off x="0" y="5476082"/>
          <a:ext cx="6042422" cy="382587"/>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baseline="0">
              <a:solidFill>
                <a:schemeClr val="accent3"/>
              </a:solidFill>
            </a:rPr>
            <a:t> </a:t>
          </a:r>
          <a:r>
            <a:rPr lang="en-US" sz="2000" b="1" u="sng" baseline="0">
              <a:solidFill>
                <a:schemeClr val="accent3"/>
              </a:solidFill>
            </a:rPr>
            <a:t>Average perormance of post  containing  each  hashtag</a:t>
          </a:r>
          <a:endParaRPr lang="en-US" sz="1400" b="1" u="sng">
            <a:solidFill>
              <a:schemeClr val="accent3"/>
            </a:solidFill>
          </a:endParaRPr>
        </a:p>
      </xdr:txBody>
    </xdr:sp>
    <xdr:clientData/>
  </xdr:twoCellAnchor>
  <xdr:twoCellAnchor>
    <xdr:from>
      <xdr:col>5</xdr:col>
      <xdr:colOff>531157</xdr:colOff>
      <xdr:row>24</xdr:row>
      <xdr:rowOff>49610</xdr:rowOff>
    </xdr:from>
    <xdr:to>
      <xdr:col>16</xdr:col>
      <xdr:colOff>287740</xdr:colOff>
      <xdr:row>41</xdr:row>
      <xdr:rowOff>168672</xdr:rowOff>
    </xdr:to>
    <xdr:graphicFrame macro="">
      <xdr:nvGraphicFramePr>
        <xdr:cNvPr id="7" name="Chart 6">
          <a:extLst>
            <a:ext uri="{FF2B5EF4-FFF2-40B4-BE49-F238E27FC236}">
              <a16:creationId xmlns:a16="http://schemas.microsoft.com/office/drawing/2014/main" id="{95E89C0B-7012-4552-B4F2-7D1A939B98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10242</xdr:colOff>
      <xdr:row>43</xdr:row>
      <xdr:rowOff>20483</xdr:rowOff>
    </xdr:from>
    <xdr:to>
      <xdr:col>7</xdr:col>
      <xdr:colOff>585391</xdr:colOff>
      <xdr:row>64</xdr:row>
      <xdr:rowOff>184353</xdr:rowOff>
    </xdr:to>
    <xdr:sp macro="" textlink="">
      <xdr:nvSpPr>
        <xdr:cNvPr id="8" name="Rectangle 7">
          <a:extLst>
            <a:ext uri="{FF2B5EF4-FFF2-40B4-BE49-F238E27FC236}">
              <a16:creationId xmlns:a16="http://schemas.microsoft.com/office/drawing/2014/main" id="{92BA77AF-6316-338C-7551-5F9E3BB270B2}"/>
            </a:ext>
          </a:extLst>
        </xdr:cNvPr>
        <xdr:cNvSpPr/>
      </xdr:nvSpPr>
      <xdr:spPr>
        <a:xfrm>
          <a:off x="10242" y="8344936"/>
          <a:ext cx="7540305" cy="4122698"/>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chemeClr val="accent3"/>
              </a:solidFill>
            </a:rPr>
            <a:t>     </a:t>
          </a:r>
          <a:r>
            <a:rPr lang="en-US" sz="2000" b="1" u="sng">
              <a:solidFill>
                <a:schemeClr val="accent3"/>
              </a:solidFill>
            </a:rPr>
            <a:t>INSIGHTS </a:t>
          </a:r>
          <a:r>
            <a:rPr lang="en-US" sz="2400" b="1" u="sng">
              <a:solidFill>
                <a:schemeClr val="accent3"/>
              </a:solidFill>
            </a:rPr>
            <a:t>:</a:t>
          </a:r>
          <a:endParaRPr lang="en-US" sz="2000" b="1" u="sng">
            <a:solidFill>
              <a:schemeClr val="accent3"/>
            </a:solidFill>
          </a:endParaRPr>
        </a:p>
        <a:p>
          <a:pPr algn="l"/>
          <a:endParaRPr lang="en-US" sz="1400">
            <a:solidFill>
              <a:schemeClr val="accent3"/>
            </a:solidFill>
          </a:endParaRPr>
        </a:p>
        <a:p>
          <a:pPr algn="l"/>
          <a:r>
            <a:rPr lang="en-US" sz="1400">
              <a:solidFill>
                <a:schemeClr val="accent3"/>
              </a:solidFill>
            </a:rPr>
            <a:t>1. posts</a:t>
          </a:r>
          <a:r>
            <a:rPr lang="en-US" sz="1400" baseline="0">
              <a:solidFill>
                <a:schemeClr val="accent3"/>
              </a:solidFill>
            </a:rPr>
            <a:t> containing </a:t>
          </a:r>
          <a:r>
            <a:rPr lang="en-US" sz="1400" baseline="0">
              <a:solidFill>
                <a:srgbClr val="0070C0"/>
              </a:solidFill>
            </a:rPr>
            <a:t>#MyntraTrend </a:t>
          </a:r>
          <a:r>
            <a:rPr lang="en-US" sz="1400" baseline="0">
              <a:solidFill>
                <a:schemeClr val="accent3"/>
              </a:solidFill>
            </a:rPr>
            <a:t>deliever the highest average reach and clicks making it the most</a:t>
          </a:r>
        </a:p>
        <a:p>
          <a:pPr algn="l"/>
          <a:r>
            <a:rPr lang="en-US" sz="1400" baseline="0">
              <a:solidFill>
                <a:schemeClr val="accent3"/>
              </a:solidFill>
            </a:rPr>
            <a:t>     effective hashtag for maximizing visibility and traffic generation.</a:t>
          </a:r>
        </a:p>
        <a:p>
          <a:pPr algn="l"/>
          <a:endParaRPr lang="en-US" sz="1400" baseline="0">
            <a:solidFill>
              <a:schemeClr val="accent3"/>
            </a:solidFill>
          </a:endParaRPr>
        </a:p>
        <a:p>
          <a:pPr algn="l"/>
          <a:r>
            <a:rPr lang="en-US" sz="1400" baseline="0">
              <a:solidFill>
                <a:schemeClr val="accent3"/>
              </a:solidFill>
            </a:rPr>
            <a:t>2.posts containing </a:t>
          </a:r>
          <a:r>
            <a:rPr lang="en-US" sz="1400" baseline="0">
              <a:solidFill>
                <a:schemeClr val="accent4">
                  <a:lumMod val="75000"/>
                </a:schemeClr>
              </a:solidFill>
            </a:rPr>
            <a:t>#StyleWithMyntra </a:t>
          </a:r>
          <a:r>
            <a:rPr lang="en-US" sz="1400" baseline="0">
              <a:solidFill>
                <a:schemeClr val="accent3"/>
              </a:solidFill>
            </a:rPr>
            <a:t>achieve thee highest average engagement ratewhile also </a:t>
          </a:r>
        </a:p>
        <a:p>
          <a:pPr algn="l"/>
          <a:r>
            <a:rPr lang="en-US" sz="1400" baseline="0">
              <a:solidFill>
                <a:schemeClr val="accent3"/>
              </a:solidFill>
            </a:rPr>
            <a:t>    maintaining above average reach and clicks, indicating strong audience interaction and </a:t>
          </a:r>
        </a:p>
        <a:p>
          <a:pPr algn="l"/>
          <a:r>
            <a:rPr lang="en-US" sz="1400" baseline="0">
              <a:solidFill>
                <a:schemeClr val="accent3"/>
              </a:solidFill>
            </a:rPr>
            <a:t>    content relevance.</a:t>
          </a:r>
        </a:p>
        <a:p>
          <a:pPr algn="l"/>
          <a:endParaRPr lang="en-US" sz="1400" baseline="0">
            <a:solidFill>
              <a:schemeClr val="accent3"/>
            </a:solidFill>
          </a:endParaRPr>
        </a:p>
        <a:p>
          <a:pPr algn="l"/>
          <a:r>
            <a:rPr lang="en-US" sz="1400" baseline="0">
              <a:solidFill>
                <a:schemeClr val="accent3"/>
              </a:solidFill>
            </a:rPr>
            <a:t>3.Posts using </a:t>
          </a:r>
          <a:r>
            <a:rPr lang="en-US" sz="1400" baseline="0">
              <a:solidFill>
                <a:schemeClr val="accent4">
                  <a:lumMod val="75000"/>
                </a:schemeClr>
              </a:solidFill>
            </a:rPr>
            <a:t>#MyntraSale </a:t>
          </a:r>
          <a:r>
            <a:rPr lang="en-US" sz="1400" baseline="0">
              <a:solidFill>
                <a:schemeClr val="accent3"/>
              </a:solidFill>
            </a:rPr>
            <a:t>show solid click performance and above average engagement rate</a:t>
          </a:r>
        </a:p>
        <a:p>
          <a:pPr algn="l"/>
          <a:r>
            <a:rPr lang="en-US" sz="1400" baseline="0">
              <a:solidFill>
                <a:schemeClr val="accent3"/>
              </a:solidFill>
            </a:rPr>
            <a:t>    but slightly lower reach compared to other hashtags, suggesting effectiveness for conversion</a:t>
          </a:r>
        </a:p>
        <a:p>
          <a:pPr algn="l"/>
          <a:r>
            <a:rPr lang="en-US" sz="1400" baseline="0">
              <a:solidFill>
                <a:schemeClr val="accent3"/>
              </a:solidFill>
            </a:rPr>
            <a:t>    driven or promotional content.</a:t>
          </a:r>
        </a:p>
        <a:p>
          <a:pPr algn="l"/>
          <a:endParaRPr lang="en-US" sz="1400" baseline="0">
            <a:solidFill>
              <a:schemeClr val="accent3"/>
            </a:solidFill>
          </a:endParaRPr>
        </a:p>
        <a:p>
          <a:pPr algn="l"/>
          <a:r>
            <a:rPr lang="en-US" sz="1400" baseline="0">
              <a:solidFill>
                <a:schemeClr val="accent3"/>
              </a:solidFill>
            </a:rPr>
            <a:t>4.Posts containing </a:t>
          </a:r>
          <a:r>
            <a:rPr lang="en-US" sz="1400" baseline="0">
              <a:solidFill>
                <a:schemeClr val="accent4">
                  <a:lumMod val="75000"/>
                </a:schemeClr>
              </a:solidFill>
            </a:rPr>
            <a:t>#MyntraFashion </a:t>
          </a:r>
          <a:r>
            <a:rPr lang="en-US" sz="1400" baseline="0">
              <a:solidFill>
                <a:schemeClr val="accent3"/>
              </a:solidFill>
            </a:rPr>
            <a:t>demonstrate moderate reach and engagement, performing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aseline="0">
              <a:solidFill>
                <a:schemeClr val="accent3"/>
              </a:solidFill>
            </a:rPr>
            <a:t>    close to the overall average making it stable but less stable hashtag.</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400" baseline="0">
            <a:solidFill>
              <a:schemeClr val="accent3"/>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400" baseline="0">
              <a:solidFill>
                <a:schemeClr val="accent3"/>
              </a:solidFill>
              <a:effectLst/>
              <a:latin typeface="+mn-lt"/>
              <a:ea typeface="+mn-ea"/>
              <a:cs typeface="+mn-cs"/>
            </a:rPr>
            <a:t>5.Pots containing </a:t>
          </a:r>
          <a:r>
            <a:rPr lang="en-US" sz="1400" baseline="0">
              <a:solidFill>
                <a:schemeClr val="accent4">
                  <a:lumMod val="75000"/>
                </a:schemeClr>
              </a:solidFill>
              <a:effectLst/>
              <a:latin typeface="+mn-lt"/>
              <a:ea typeface="+mn-ea"/>
              <a:cs typeface="+mn-cs"/>
            </a:rPr>
            <a:t>#FashionDeal </a:t>
          </a:r>
          <a:r>
            <a:rPr lang="en-US" sz="1400" baseline="0">
              <a:solidFill>
                <a:schemeClr val="accent3"/>
              </a:solidFill>
              <a:effectLst/>
              <a:latin typeface="+mn-lt"/>
              <a:ea typeface="+mn-ea"/>
              <a:cs typeface="+mn-cs"/>
            </a:rPr>
            <a:t>generate reasonable clicks and reach but shows the lowest  engage</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aseline="0">
              <a:solidFill>
                <a:schemeClr val="accent3"/>
              </a:solidFill>
              <a:effectLst/>
              <a:latin typeface="+mn-lt"/>
              <a:ea typeface="+mn-ea"/>
              <a:cs typeface="+mn-cs"/>
            </a:rPr>
            <a:t>   - ment rate among the hashtags.</a:t>
          </a:r>
          <a:r>
            <a:rPr lang="en-US" sz="1100" baseline="0">
              <a:solidFill>
                <a:schemeClr val="lt1"/>
              </a:solidFill>
              <a:effectLst/>
              <a:latin typeface="+mn-lt"/>
              <a:ea typeface="+mn-ea"/>
              <a:cs typeface="+mn-cs"/>
            </a:rPr>
            <a:t>ratethe overall average making it stable but less distinctive hashtag for driving standout</a:t>
          </a:r>
          <a:r>
            <a:rPr lang="en-US" sz="1400" baseline="0">
              <a:solidFill>
                <a:schemeClr val="accent3"/>
              </a:solidFill>
            </a:rPr>
            <a:t> </a:t>
          </a:r>
          <a:r>
            <a:rPr lang="en-US" sz="1100" baseline="0">
              <a:solidFill>
                <a:schemeClr val="lt1"/>
              </a:solidFill>
              <a:effectLst/>
              <a:latin typeface="+mn-lt"/>
              <a:ea typeface="+mn-ea"/>
              <a:cs typeface="+mn-cs"/>
            </a:rPr>
            <a:t>o the overall average making it stable but less distinctive hashtag for driving standout</a:t>
          </a:r>
          <a:endParaRPr lang="en-US" sz="1400">
            <a:effectLst/>
          </a:endParaRPr>
        </a:p>
        <a:p>
          <a:pPr algn="l"/>
          <a:r>
            <a:rPr lang="en-US" sz="1400" baseline="0">
              <a:solidFill>
                <a:schemeClr val="accent3"/>
              </a:solidFill>
            </a:rPr>
            <a:t>                                                         </a:t>
          </a:r>
        </a:p>
      </xdr:txBody>
    </xdr:sp>
    <xdr:clientData/>
  </xdr:twoCellAnchor>
  <xdr:twoCellAnchor>
    <xdr:from>
      <xdr:col>0</xdr:col>
      <xdr:colOff>30725</xdr:colOff>
      <xdr:row>68</xdr:row>
      <xdr:rowOff>40965</xdr:rowOff>
    </xdr:from>
    <xdr:to>
      <xdr:col>1</xdr:col>
      <xdr:colOff>1875235</xdr:colOff>
      <xdr:row>70</xdr:row>
      <xdr:rowOff>167471</xdr:rowOff>
    </xdr:to>
    <xdr:sp macro="" textlink="">
      <xdr:nvSpPr>
        <xdr:cNvPr id="10" name="Rectangle 9">
          <a:extLst>
            <a:ext uri="{FF2B5EF4-FFF2-40B4-BE49-F238E27FC236}">
              <a16:creationId xmlns:a16="http://schemas.microsoft.com/office/drawing/2014/main" id="{5E6A90A5-E3A3-008F-62B4-DF3DE4AF4D90}"/>
            </a:ext>
          </a:extLst>
        </xdr:cNvPr>
        <xdr:cNvSpPr/>
      </xdr:nvSpPr>
      <xdr:spPr>
        <a:xfrm>
          <a:off x="30725" y="12929481"/>
          <a:ext cx="2777166" cy="503537"/>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u="sng">
              <a:solidFill>
                <a:schemeClr val="accent3"/>
              </a:solidFill>
            </a:rPr>
            <a:t>Content</a:t>
          </a:r>
          <a:r>
            <a:rPr lang="en-US" sz="2000" b="1" u="sng" baseline="0">
              <a:solidFill>
                <a:schemeClr val="accent3"/>
              </a:solidFill>
            </a:rPr>
            <a:t> - Performance</a:t>
          </a:r>
          <a:endParaRPr lang="en-US" sz="2000" b="1" u="sng">
            <a:solidFill>
              <a:schemeClr val="accent3"/>
            </a:solidFill>
          </a:endParaRPr>
        </a:p>
      </xdr:txBody>
    </xdr:sp>
    <xdr:clientData/>
  </xdr:twoCellAnchor>
  <xdr:twoCellAnchor>
    <xdr:from>
      <xdr:col>0</xdr:col>
      <xdr:colOff>883047</xdr:colOff>
      <xdr:row>80</xdr:row>
      <xdr:rowOff>146446</xdr:rowOff>
    </xdr:from>
    <xdr:to>
      <xdr:col>4</xdr:col>
      <xdr:colOff>500799</xdr:colOff>
      <xdr:row>95</xdr:row>
      <xdr:rowOff>166933</xdr:rowOff>
    </xdr:to>
    <xdr:graphicFrame macro="">
      <xdr:nvGraphicFramePr>
        <xdr:cNvPr id="12" name="Chart 11">
          <a:extLst>
            <a:ext uri="{FF2B5EF4-FFF2-40B4-BE49-F238E27FC236}">
              <a16:creationId xmlns:a16="http://schemas.microsoft.com/office/drawing/2014/main" id="{2F8BF2D0-C818-A1D6-AF69-0EB7FFDD88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39687</xdr:colOff>
      <xdr:row>96</xdr:row>
      <xdr:rowOff>29765</xdr:rowOff>
    </xdr:from>
    <xdr:to>
      <xdr:col>4</xdr:col>
      <xdr:colOff>585390</xdr:colOff>
      <xdr:row>112</xdr:row>
      <xdr:rowOff>147294</xdr:rowOff>
    </xdr:to>
    <xdr:sp macro="" textlink="">
      <xdr:nvSpPr>
        <xdr:cNvPr id="13" name="Rectangle 12">
          <a:extLst>
            <a:ext uri="{FF2B5EF4-FFF2-40B4-BE49-F238E27FC236}">
              <a16:creationId xmlns:a16="http://schemas.microsoft.com/office/drawing/2014/main" id="{DA75589D-83B2-CD69-E831-F6F63DB3C51F}"/>
            </a:ext>
          </a:extLst>
        </xdr:cNvPr>
        <xdr:cNvSpPr/>
      </xdr:nvSpPr>
      <xdr:spPr>
        <a:xfrm>
          <a:off x="39687" y="18019250"/>
          <a:ext cx="6889157" cy="294557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u="sng">
              <a:solidFill>
                <a:schemeClr val="accent3"/>
              </a:solidFill>
            </a:rPr>
            <a:t>INSIGHTS :</a:t>
          </a:r>
        </a:p>
        <a:p>
          <a:pPr algn="l"/>
          <a:endParaRPr lang="en-US" sz="1600" b="1" u="sng">
            <a:solidFill>
              <a:schemeClr val="accent3"/>
            </a:solidFill>
          </a:endParaRPr>
        </a:p>
        <a:p>
          <a:pPr algn="l"/>
          <a:r>
            <a:rPr lang="en-US" sz="1400" b="0" u="none">
              <a:solidFill>
                <a:schemeClr val="accent3"/>
              </a:solidFill>
            </a:rPr>
            <a:t>1.Carousel</a:t>
          </a:r>
          <a:r>
            <a:rPr lang="en-US" sz="1400" b="0" u="none" baseline="0">
              <a:solidFill>
                <a:schemeClr val="accent3"/>
              </a:solidFill>
            </a:rPr>
            <a:t> and reels are the top performing content in every aspects whether engagement rate,</a:t>
          </a:r>
        </a:p>
        <a:p>
          <a:pPr algn="l"/>
          <a:r>
            <a:rPr lang="en-US" sz="1400" b="0" u="none" baseline="0">
              <a:solidFill>
                <a:schemeClr val="accent3"/>
              </a:solidFill>
            </a:rPr>
            <a:t>     clicks and reach.</a:t>
          </a:r>
        </a:p>
        <a:p>
          <a:pPr algn="l"/>
          <a:endParaRPr lang="en-US" sz="1400" b="0" u="none" baseline="0">
            <a:solidFill>
              <a:schemeClr val="accent3"/>
            </a:solidFill>
          </a:endParaRPr>
        </a:p>
        <a:p>
          <a:pPr algn="l"/>
          <a:r>
            <a:rPr lang="en-US" sz="1400" b="0" u="none" baseline="0">
              <a:solidFill>
                <a:schemeClr val="accent3"/>
              </a:solidFill>
            </a:rPr>
            <a:t>2.story having best engagement rate  but clicks and reach are bit lower.</a:t>
          </a:r>
        </a:p>
        <a:p>
          <a:pPr algn="l"/>
          <a:endParaRPr lang="en-US" sz="1400" b="0" u="none" baseline="0">
            <a:solidFill>
              <a:schemeClr val="accent3"/>
            </a:solidFill>
          </a:endParaRPr>
        </a:p>
        <a:p>
          <a:pPr algn="l"/>
          <a:r>
            <a:rPr lang="en-US" sz="1400" b="0" u="none" baseline="0">
              <a:solidFill>
                <a:schemeClr val="accent3"/>
              </a:solidFill>
            </a:rPr>
            <a:t>3.Text content type having descent reach and good amount of clicks but engagement is bit lower.</a:t>
          </a:r>
        </a:p>
        <a:p>
          <a:pPr algn="l"/>
          <a:endParaRPr lang="en-US" sz="1400" b="0" u="none" baseline="0">
            <a:solidFill>
              <a:schemeClr val="accent3"/>
            </a:solidFill>
          </a:endParaRPr>
        </a:p>
        <a:p>
          <a:pPr algn="l"/>
          <a:r>
            <a:rPr lang="en-US" sz="1400" b="0" u="none" baseline="0">
              <a:solidFill>
                <a:schemeClr val="accent3"/>
              </a:solidFill>
            </a:rPr>
            <a:t>4.Videos having descent engagement rate but reach and clicks are lower</a:t>
          </a:r>
        </a:p>
      </xdr:txBody>
    </xdr:sp>
    <xdr:clientData/>
  </xdr:twoCellAnchor>
  <xdr:twoCellAnchor>
    <xdr:from>
      <xdr:col>0</xdr:col>
      <xdr:colOff>19844</xdr:colOff>
      <xdr:row>111</xdr:row>
      <xdr:rowOff>29766</xdr:rowOff>
    </xdr:from>
    <xdr:to>
      <xdr:col>2</xdr:col>
      <xdr:colOff>1141016</xdr:colOff>
      <xdr:row>112</xdr:row>
      <xdr:rowOff>178594</xdr:rowOff>
    </xdr:to>
    <xdr:sp macro="" textlink="">
      <xdr:nvSpPr>
        <xdr:cNvPr id="6" name="Rectangle 5">
          <a:extLst>
            <a:ext uri="{FF2B5EF4-FFF2-40B4-BE49-F238E27FC236}">
              <a16:creationId xmlns:a16="http://schemas.microsoft.com/office/drawing/2014/main" id="{C5DA15F5-E80A-F808-1CB1-BA2CEA56AF64}"/>
            </a:ext>
          </a:extLst>
        </xdr:cNvPr>
        <xdr:cNvSpPr/>
      </xdr:nvSpPr>
      <xdr:spPr>
        <a:xfrm>
          <a:off x="19844" y="21659454"/>
          <a:ext cx="3968750" cy="337343"/>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u="sng">
              <a:solidFill>
                <a:schemeClr val="accent3"/>
              </a:solidFill>
            </a:rPr>
            <a:t>Content</a:t>
          </a:r>
          <a:r>
            <a:rPr lang="en-US" sz="1800" b="1" u="sng" baseline="0">
              <a:solidFill>
                <a:schemeClr val="accent3"/>
              </a:solidFill>
            </a:rPr>
            <a:t> type priorities per Platform</a:t>
          </a:r>
          <a:endParaRPr lang="en-US" sz="1800" b="1" u="sng">
            <a:solidFill>
              <a:schemeClr val="accent3"/>
            </a:solidFill>
          </a:endParaRPr>
        </a:p>
      </xdr:txBody>
    </xdr:sp>
    <xdr:clientData/>
  </xdr:twoCellAnchor>
  <xdr:twoCellAnchor editAs="oneCell">
    <xdr:from>
      <xdr:col>5</xdr:col>
      <xdr:colOff>31355</xdr:colOff>
      <xdr:row>111</xdr:row>
      <xdr:rowOff>137716</xdr:rowOff>
    </xdr:from>
    <xdr:to>
      <xdr:col>8</xdr:col>
      <xdr:colOff>44452</xdr:colOff>
      <xdr:row>122</xdr:row>
      <xdr:rowOff>119062</xdr:rowOff>
    </xdr:to>
    <mc:AlternateContent xmlns:mc="http://schemas.openxmlformats.org/markup-compatibility/2006" xmlns:a14="http://schemas.microsoft.com/office/drawing/2010/main">
      <mc:Choice Requires="a14">
        <xdr:graphicFrame macro="">
          <xdr:nvGraphicFramePr>
            <xdr:cNvPr id="9" name="Content Type 2">
              <a:extLst>
                <a:ext uri="{FF2B5EF4-FFF2-40B4-BE49-F238E27FC236}">
                  <a16:creationId xmlns:a16="http://schemas.microsoft.com/office/drawing/2014/main" id="{9FA8BB3B-C8DD-D1B6-3202-4A41AF7CD040}"/>
                </a:ext>
              </a:extLst>
            </xdr:cNvPr>
            <xdr:cNvGraphicFramePr/>
          </xdr:nvGraphicFramePr>
          <xdr:xfrm>
            <a:off x="0" y="0"/>
            <a:ext cx="0" cy="0"/>
          </xdr:xfrm>
          <a:graphic>
            <a:graphicData uri="http://schemas.microsoft.com/office/drawing/2010/slicer">
              <sle:slicer xmlns:sle="http://schemas.microsoft.com/office/drawing/2010/slicer" name="Content Type 2"/>
            </a:graphicData>
          </a:graphic>
        </xdr:graphicFrame>
      </mc:Choice>
      <mc:Fallback xmlns="">
        <xdr:sp macro="" textlink="">
          <xdr:nvSpPr>
            <xdr:cNvPr id="0" name=""/>
            <xdr:cNvSpPr>
              <a:spLocks noTextEdit="1"/>
            </xdr:cNvSpPr>
          </xdr:nvSpPr>
          <xdr:spPr>
            <a:xfrm>
              <a:off x="5786043" y="21697950"/>
              <a:ext cx="1828800" cy="2114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29764</xdr:colOff>
      <xdr:row>123</xdr:row>
      <xdr:rowOff>59531</xdr:rowOff>
    </xdr:from>
    <xdr:to>
      <xdr:col>5</xdr:col>
      <xdr:colOff>575467</xdr:colOff>
      <xdr:row>131</xdr:row>
      <xdr:rowOff>168671</xdr:rowOff>
    </xdr:to>
    <xdr:sp macro="" textlink="">
      <xdr:nvSpPr>
        <xdr:cNvPr id="11" name="Rectangle 10">
          <a:extLst>
            <a:ext uri="{FF2B5EF4-FFF2-40B4-BE49-F238E27FC236}">
              <a16:creationId xmlns:a16="http://schemas.microsoft.com/office/drawing/2014/main" id="{82654DF3-9C00-E6B8-118A-FA41541653DD}"/>
            </a:ext>
          </a:extLst>
        </xdr:cNvPr>
        <xdr:cNvSpPr/>
      </xdr:nvSpPr>
      <xdr:spPr>
        <a:xfrm>
          <a:off x="29764" y="23941484"/>
          <a:ext cx="6300391" cy="161726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accent3"/>
              </a:solidFill>
            </a:rPr>
            <a:t>Reel</a:t>
          </a:r>
          <a:r>
            <a:rPr lang="en-US" sz="1400" baseline="0">
              <a:solidFill>
                <a:schemeClr val="accent3"/>
              </a:solidFill>
            </a:rPr>
            <a:t> and story for instagram as these content have higheest engagement rate when</a:t>
          </a:r>
        </a:p>
        <a:p>
          <a:pPr algn="l"/>
          <a:r>
            <a:rPr lang="en-US" sz="1400" baseline="0">
              <a:solidFill>
                <a:schemeClr val="accent3"/>
              </a:solidFill>
            </a:rPr>
            <a:t>post on instagram.</a:t>
          </a:r>
        </a:p>
        <a:p>
          <a:pPr algn="l"/>
          <a:r>
            <a:rPr lang="en-US" sz="1400" baseline="0">
              <a:solidFill>
                <a:schemeClr val="accent3"/>
              </a:solidFill>
            </a:rPr>
            <a:t>Text should be on twitter showing good numbers when post on twitter</a:t>
          </a:r>
        </a:p>
        <a:p>
          <a:pPr algn="l"/>
          <a:r>
            <a:rPr lang="en-US" sz="1400" baseline="0">
              <a:solidFill>
                <a:schemeClr val="accent3"/>
              </a:solidFill>
            </a:rPr>
            <a:t>Carousel on youtubeas avg. engagemnet rate ,avg. reach , avg. clicks are best when Carousels r post oon youo tube.</a:t>
          </a:r>
        </a:p>
        <a:p>
          <a:pPr algn="l"/>
          <a:r>
            <a:rPr lang="en-US" sz="1400" baseline="0">
              <a:solidFill>
                <a:schemeClr val="accent3"/>
              </a:solidFill>
            </a:rPr>
            <a:t>videos on instagram and you tube as having good engagement rate</a:t>
          </a:r>
        </a:p>
        <a:p>
          <a:pPr algn="l"/>
          <a:endParaRPr lang="en-US" sz="1400" baseline="0">
            <a:solidFill>
              <a:schemeClr val="accent3"/>
            </a:solidFill>
          </a:endParaRPr>
        </a:p>
        <a:p>
          <a:pPr algn="l"/>
          <a:endParaRPr lang="en-US" sz="1400" baseline="0">
            <a:solidFill>
              <a:schemeClr val="accent3"/>
            </a:solidFill>
          </a:endParaRPr>
        </a:p>
        <a:p>
          <a:pPr algn="l"/>
          <a:endParaRPr lang="en-US" sz="1400">
            <a:solidFill>
              <a:schemeClr val="accent3"/>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28575</xdr:rowOff>
    </xdr:from>
    <xdr:to>
      <xdr:col>3</xdr:col>
      <xdr:colOff>1095375</xdr:colOff>
      <xdr:row>2</xdr:row>
      <xdr:rowOff>171450</xdr:rowOff>
    </xdr:to>
    <xdr:sp macro="" textlink="">
      <xdr:nvSpPr>
        <xdr:cNvPr id="5" name="Rectangle 4">
          <a:extLst>
            <a:ext uri="{FF2B5EF4-FFF2-40B4-BE49-F238E27FC236}">
              <a16:creationId xmlns:a16="http://schemas.microsoft.com/office/drawing/2014/main" id="{82C7099F-1F73-DD5B-8972-576AB0DCC146}"/>
            </a:ext>
          </a:extLst>
        </xdr:cNvPr>
        <xdr:cNvSpPr/>
      </xdr:nvSpPr>
      <xdr:spPr>
        <a:xfrm>
          <a:off x="0" y="28575"/>
          <a:ext cx="4505325" cy="46672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u="sng">
              <a:solidFill>
                <a:schemeClr val="accent3"/>
              </a:solidFill>
            </a:rPr>
            <a:t>Total</a:t>
          </a:r>
          <a:r>
            <a:rPr lang="en-US" sz="1800" b="1" u="sng" baseline="0">
              <a:solidFill>
                <a:schemeClr val="accent3"/>
              </a:solidFill>
            </a:rPr>
            <a:t> Impressions, Likes,Clicks per Campaign</a:t>
          </a:r>
          <a:endParaRPr lang="en-US" sz="1800" b="1" u="sng">
            <a:solidFill>
              <a:schemeClr val="accent3"/>
            </a:solidFill>
          </a:endParaRPr>
        </a:p>
      </xdr:txBody>
    </xdr:sp>
    <xdr:clientData/>
  </xdr:twoCellAnchor>
  <xdr:twoCellAnchor>
    <xdr:from>
      <xdr:col>0</xdr:col>
      <xdr:colOff>0</xdr:colOff>
      <xdr:row>11</xdr:row>
      <xdr:rowOff>28575</xdr:rowOff>
    </xdr:from>
    <xdr:to>
      <xdr:col>3</xdr:col>
      <xdr:colOff>1314450</xdr:colOff>
      <xdr:row>12</xdr:row>
      <xdr:rowOff>171450</xdr:rowOff>
    </xdr:to>
    <xdr:sp macro="" textlink="">
      <xdr:nvSpPr>
        <xdr:cNvPr id="7" name="Rectangle 6">
          <a:extLst>
            <a:ext uri="{FF2B5EF4-FFF2-40B4-BE49-F238E27FC236}">
              <a16:creationId xmlns:a16="http://schemas.microsoft.com/office/drawing/2014/main" id="{B3BAC49F-95C8-D8C1-9340-7CB83ADC2430}"/>
            </a:ext>
          </a:extLst>
        </xdr:cNvPr>
        <xdr:cNvSpPr/>
      </xdr:nvSpPr>
      <xdr:spPr>
        <a:xfrm>
          <a:off x="0" y="2466975"/>
          <a:ext cx="5200650" cy="33337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u="sng">
              <a:solidFill>
                <a:schemeClr val="accent3"/>
              </a:solidFill>
            </a:rPr>
            <a:t>Average Impressions,</a:t>
          </a:r>
          <a:r>
            <a:rPr lang="en-US" sz="1800" b="1" u="sng" baseline="0">
              <a:solidFill>
                <a:schemeClr val="accent3"/>
              </a:solidFill>
            </a:rPr>
            <a:t>  Likes, Clicks per Campaign</a:t>
          </a:r>
          <a:endParaRPr lang="en-US" sz="1800" b="1" u="sng">
            <a:solidFill>
              <a:schemeClr val="accent3"/>
            </a:solidFill>
          </a:endParaRPr>
        </a:p>
      </xdr:txBody>
    </xdr:sp>
    <xdr:clientData/>
  </xdr:twoCellAnchor>
  <xdr:twoCellAnchor>
    <xdr:from>
      <xdr:col>0</xdr:col>
      <xdr:colOff>48125</xdr:colOff>
      <xdr:row>22</xdr:row>
      <xdr:rowOff>30079</xdr:rowOff>
    </xdr:from>
    <xdr:to>
      <xdr:col>4</xdr:col>
      <xdr:colOff>862262</xdr:colOff>
      <xdr:row>24</xdr:row>
      <xdr:rowOff>151900</xdr:rowOff>
    </xdr:to>
    <xdr:sp macro="" textlink="">
      <xdr:nvSpPr>
        <xdr:cNvPr id="8" name="Rectangle 7">
          <a:extLst>
            <a:ext uri="{FF2B5EF4-FFF2-40B4-BE49-F238E27FC236}">
              <a16:creationId xmlns:a16="http://schemas.microsoft.com/office/drawing/2014/main" id="{2FD3987D-2F04-EABA-C76A-556C7E64D6B3}"/>
            </a:ext>
          </a:extLst>
        </xdr:cNvPr>
        <xdr:cNvSpPr/>
      </xdr:nvSpPr>
      <xdr:spPr>
        <a:xfrm>
          <a:off x="48125" y="5043237"/>
          <a:ext cx="5576637" cy="482768"/>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u="sng">
              <a:solidFill>
                <a:schemeClr val="accent3"/>
              </a:solidFill>
            </a:rPr>
            <a:t>Engagement Upliftment During</a:t>
          </a:r>
          <a:r>
            <a:rPr lang="en-US" sz="2400" b="1" u="sng" baseline="0">
              <a:solidFill>
                <a:schemeClr val="accent3"/>
              </a:solidFill>
            </a:rPr>
            <a:t> vs before</a:t>
          </a:r>
          <a:endParaRPr lang="en-US" sz="2400" b="1" u="sng">
            <a:solidFill>
              <a:schemeClr val="accent3"/>
            </a:solidFill>
          </a:endParaRPr>
        </a:p>
      </xdr:txBody>
    </xdr:sp>
    <xdr:clientData/>
  </xdr:twoCellAnchor>
  <xdr:twoCellAnchor>
    <xdr:from>
      <xdr:col>0</xdr:col>
      <xdr:colOff>66676</xdr:colOff>
      <xdr:row>63</xdr:row>
      <xdr:rowOff>57149</xdr:rowOff>
    </xdr:from>
    <xdr:to>
      <xdr:col>1</xdr:col>
      <xdr:colOff>323851</xdr:colOff>
      <xdr:row>69</xdr:row>
      <xdr:rowOff>150394</xdr:rowOff>
    </xdr:to>
    <xdr:sp macro="" textlink="">
      <xdr:nvSpPr>
        <xdr:cNvPr id="13" name="Rectangle 12">
          <a:extLst>
            <a:ext uri="{FF2B5EF4-FFF2-40B4-BE49-F238E27FC236}">
              <a16:creationId xmlns:a16="http://schemas.microsoft.com/office/drawing/2014/main" id="{1BA8E6FB-8436-730D-40C8-19B880583A49}"/>
            </a:ext>
          </a:extLst>
        </xdr:cNvPr>
        <xdr:cNvSpPr/>
      </xdr:nvSpPr>
      <xdr:spPr>
        <a:xfrm>
          <a:off x="66676" y="13121438"/>
          <a:ext cx="1570622" cy="1176088"/>
        </a:xfrm>
        <a:prstGeom prst="rect">
          <a:avLst/>
        </a:prstGeom>
        <a:solidFill>
          <a:schemeClr val="accent3">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3"/>
            </a:solidFill>
          </a:endParaRPr>
        </a:p>
        <a:p>
          <a:pPr algn="l"/>
          <a:r>
            <a:rPr lang="en-US" sz="1400" b="1">
              <a:solidFill>
                <a:schemeClr val="accent3"/>
              </a:solidFill>
            </a:rPr>
            <a:t>End</a:t>
          </a:r>
          <a:r>
            <a:rPr lang="en-US" sz="1400" b="1" baseline="0">
              <a:solidFill>
                <a:schemeClr val="accent3"/>
              </a:solidFill>
            </a:rPr>
            <a:t>OfSeasonSale has highest  average Follower </a:t>
          </a:r>
        </a:p>
        <a:p>
          <a:pPr algn="l"/>
          <a:r>
            <a:rPr lang="en-US" sz="1400" b="1" baseline="0">
              <a:solidFill>
                <a:schemeClr val="accent3"/>
              </a:solidFill>
            </a:rPr>
            <a:t> Growth rate </a:t>
          </a:r>
          <a:endParaRPr lang="en-US" sz="1400" b="1">
            <a:solidFill>
              <a:schemeClr val="accent3"/>
            </a:solidFill>
          </a:endParaRPr>
        </a:p>
      </xdr:txBody>
    </xdr:sp>
    <xdr:clientData/>
  </xdr:twoCellAnchor>
  <xdr:twoCellAnchor>
    <xdr:from>
      <xdr:col>0</xdr:col>
      <xdr:colOff>28577</xdr:colOff>
      <xdr:row>52</xdr:row>
      <xdr:rowOff>28575</xdr:rowOff>
    </xdr:from>
    <xdr:to>
      <xdr:col>2</xdr:col>
      <xdr:colOff>1478018</xdr:colOff>
      <xdr:row>54</xdr:row>
      <xdr:rowOff>161925</xdr:rowOff>
    </xdr:to>
    <xdr:sp macro="" textlink="">
      <xdr:nvSpPr>
        <xdr:cNvPr id="15" name="Rectangle 14">
          <a:extLst>
            <a:ext uri="{FF2B5EF4-FFF2-40B4-BE49-F238E27FC236}">
              <a16:creationId xmlns:a16="http://schemas.microsoft.com/office/drawing/2014/main" id="{98C7D7F6-D90F-23A5-4294-BD648339E475}"/>
            </a:ext>
          </a:extLst>
        </xdr:cNvPr>
        <xdr:cNvSpPr/>
      </xdr:nvSpPr>
      <xdr:spPr>
        <a:xfrm>
          <a:off x="28577" y="12476765"/>
          <a:ext cx="3847113" cy="50559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u="sng">
              <a:solidFill>
                <a:schemeClr val="accent3"/>
              </a:solidFill>
            </a:rPr>
            <a:t>Campaign wise  Follower growth</a:t>
          </a:r>
        </a:p>
      </xdr:txBody>
    </xdr:sp>
    <xdr:clientData/>
  </xdr:twoCellAnchor>
  <xdr:twoCellAnchor>
    <xdr:from>
      <xdr:col>0</xdr:col>
      <xdr:colOff>1</xdr:colOff>
      <xdr:row>41</xdr:row>
      <xdr:rowOff>60157</xdr:rowOff>
    </xdr:from>
    <xdr:to>
      <xdr:col>1</xdr:col>
      <xdr:colOff>932447</xdr:colOff>
      <xdr:row>43</xdr:row>
      <xdr:rowOff>190500</xdr:rowOff>
    </xdr:to>
    <xdr:sp macro="" textlink="">
      <xdr:nvSpPr>
        <xdr:cNvPr id="16" name="Rectangle 15">
          <a:extLst>
            <a:ext uri="{FF2B5EF4-FFF2-40B4-BE49-F238E27FC236}">
              <a16:creationId xmlns:a16="http://schemas.microsoft.com/office/drawing/2014/main" id="{5793F687-62B9-4647-1846-92B309BA083F}"/>
            </a:ext>
          </a:extLst>
        </xdr:cNvPr>
        <xdr:cNvSpPr/>
      </xdr:nvSpPr>
      <xdr:spPr>
        <a:xfrm>
          <a:off x="1" y="9795710"/>
          <a:ext cx="2296025" cy="421106"/>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u="sng">
              <a:solidFill>
                <a:schemeClr val="accent3"/>
              </a:solidFill>
            </a:rPr>
            <a:t>Campaign ROI</a:t>
          </a:r>
        </a:p>
      </xdr:txBody>
    </xdr:sp>
    <xdr:clientData/>
  </xdr:twoCellAnchor>
  <xdr:twoCellAnchor editAs="oneCell">
    <xdr:from>
      <xdr:col>4</xdr:col>
      <xdr:colOff>203532</xdr:colOff>
      <xdr:row>26</xdr:row>
      <xdr:rowOff>10027</xdr:rowOff>
    </xdr:from>
    <xdr:to>
      <xdr:col>5</xdr:col>
      <xdr:colOff>970883</xdr:colOff>
      <xdr:row>31</xdr:row>
      <xdr:rowOff>50133</xdr:rowOff>
    </xdr:to>
    <mc:AlternateContent xmlns:mc="http://schemas.openxmlformats.org/markup-compatibility/2006" xmlns:a14="http://schemas.microsoft.com/office/drawing/2010/main">
      <mc:Choice Requires="a14">
        <xdr:graphicFrame macro="">
          <xdr:nvGraphicFramePr>
            <xdr:cNvPr id="2" name="Campaign_Name">
              <a:extLst>
                <a:ext uri="{FF2B5EF4-FFF2-40B4-BE49-F238E27FC236}">
                  <a16:creationId xmlns:a16="http://schemas.microsoft.com/office/drawing/2014/main" id="{6E577D3A-8D6B-4105-96F5-BA7ABDDDE114}"/>
                </a:ext>
              </a:extLst>
            </xdr:cNvPr>
            <xdr:cNvGraphicFramePr/>
          </xdr:nvGraphicFramePr>
          <xdr:xfrm>
            <a:off x="0" y="0"/>
            <a:ext cx="0" cy="0"/>
          </xdr:xfrm>
          <a:graphic>
            <a:graphicData uri="http://schemas.microsoft.com/office/drawing/2010/slicer">
              <sle:slicer xmlns:sle="http://schemas.microsoft.com/office/drawing/2010/slicer" name="Campaign_Name"/>
            </a:graphicData>
          </a:graphic>
        </xdr:graphicFrame>
      </mc:Choice>
      <mc:Fallback xmlns="">
        <xdr:sp macro="" textlink="">
          <xdr:nvSpPr>
            <xdr:cNvPr id="0" name=""/>
            <xdr:cNvSpPr>
              <a:spLocks noTextEdit="1"/>
            </xdr:cNvSpPr>
          </xdr:nvSpPr>
          <xdr:spPr>
            <a:xfrm>
              <a:off x="9467848" y="5574632"/>
              <a:ext cx="2343151" cy="15039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58</xdr:row>
      <xdr:rowOff>23811</xdr:rowOff>
    </xdr:from>
    <xdr:to>
      <xdr:col>13</xdr:col>
      <xdr:colOff>219075</xdr:colOff>
      <xdr:row>77</xdr:row>
      <xdr:rowOff>85725</xdr:rowOff>
    </xdr:to>
    <xdr:graphicFrame macro="">
      <xdr:nvGraphicFramePr>
        <xdr:cNvPr id="2" name="Chart 1">
          <a:extLst>
            <a:ext uri="{FF2B5EF4-FFF2-40B4-BE49-F238E27FC236}">
              <a16:creationId xmlns:a16="http://schemas.microsoft.com/office/drawing/2014/main" id="{4794E44F-6A29-8ED9-5A76-FDEC6D3671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319510</xdr:colOff>
      <xdr:row>61</xdr:row>
      <xdr:rowOff>98385</xdr:rowOff>
    </xdr:from>
    <xdr:to>
      <xdr:col>16</xdr:col>
      <xdr:colOff>319510</xdr:colOff>
      <xdr:row>70</xdr:row>
      <xdr:rowOff>29299</xdr:rowOff>
    </xdr:to>
    <mc:AlternateContent xmlns:mc="http://schemas.openxmlformats.org/markup-compatibility/2006" xmlns:a14="http://schemas.microsoft.com/office/drawing/2010/main">
      <mc:Choice Requires="a14">
        <xdr:graphicFrame macro="">
          <xdr:nvGraphicFramePr>
            <xdr:cNvPr id="3" name="Platform">
              <a:extLst>
                <a:ext uri="{FF2B5EF4-FFF2-40B4-BE49-F238E27FC236}">
                  <a16:creationId xmlns:a16="http://schemas.microsoft.com/office/drawing/2014/main" id="{2E7E45AC-B9F8-9351-FF4E-D0DCA6F78DB5}"/>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0326788" y="11865980"/>
              <a:ext cx="1844716" cy="16671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85725</xdr:colOff>
      <xdr:row>82</xdr:row>
      <xdr:rowOff>19050</xdr:rowOff>
    </xdr:from>
    <xdr:to>
      <xdr:col>2</xdr:col>
      <xdr:colOff>0</xdr:colOff>
      <xdr:row>83</xdr:row>
      <xdr:rowOff>180975</xdr:rowOff>
    </xdr:to>
    <xdr:sp macro="" textlink="">
      <xdr:nvSpPr>
        <xdr:cNvPr id="4" name="Rectangle 3">
          <a:extLst>
            <a:ext uri="{FF2B5EF4-FFF2-40B4-BE49-F238E27FC236}">
              <a16:creationId xmlns:a16="http://schemas.microsoft.com/office/drawing/2014/main" id="{C2A62E63-E309-D2C7-3EC6-958B11D5CE96}"/>
            </a:ext>
          </a:extLst>
        </xdr:cNvPr>
        <xdr:cNvSpPr/>
      </xdr:nvSpPr>
      <xdr:spPr>
        <a:xfrm>
          <a:off x="85725" y="16973550"/>
          <a:ext cx="2914650" cy="35242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u="sng">
              <a:solidFill>
                <a:schemeClr val="accent3"/>
              </a:solidFill>
            </a:rPr>
            <a:t>Peak</a:t>
          </a:r>
          <a:r>
            <a:rPr lang="en-US" sz="1800" b="1" u="sng" baseline="0">
              <a:solidFill>
                <a:schemeClr val="accent3"/>
              </a:solidFill>
            </a:rPr>
            <a:t> Weak Of Follower Gain</a:t>
          </a:r>
          <a:endParaRPr lang="en-US" sz="1800" b="1" u="sng">
            <a:solidFill>
              <a:schemeClr val="accent3"/>
            </a:solidFill>
          </a:endParaRPr>
        </a:p>
      </xdr:txBody>
    </xdr:sp>
    <xdr:clientData/>
  </xdr:twoCellAnchor>
  <xdr:twoCellAnchor>
    <xdr:from>
      <xdr:col>2</xdr:col>
      <xdr:colOff>180974</xdr:colOff>
      <xdr:row>96</xdr:row>
      <xdr:rowOff>80961</xdr:rowOff>
    </xdr:from>
    <xdr:to>
      <xdr:col>17</xdr:col>
      <xdr:colOff>123824</xdr:colOff>
      <xdr:row>115</xdr:row>
      <xdr:rowOff>85725</xdr:rowOff>
    </xdr:to>
    <xdr:graphicFrame macro="">
      <xdr:nvGraphicFramePr>
        <xdr:cNvPr id="5" name="Chart 4">
          <a:extLst>
            <a:ext uri="{FF2B5EF4-FFF2-40B4-BE49-F238E27FC236}">
              <a16:creationId xmlns:a16="http://schemas.microsoft.com/office/drawing/2014/main" id="{7929C8D2-7185-775B-3E64-B07EAEA7FB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366712</xdr:colOff>
      <xdr:row>143</xdr:row>
      <xdr:rowOff>171450</xdr:rowOff>
    </xdr:from>
    <xdr:to>
      <xdr:col>17</xdr:col>
      <xdr:colOff>581025</xdr:colOff>
      <xdr:row>161</xdr:row>
      <xdr:rowOff>152400</xdr:rowOff>
    </xdr:to>
    <xdr:graphicFrame macro="">
      <xdr:nvGraphicFramePr>
        <xdr:cNvPr id="8" name="Chart 7">
          <a:extLst>
            <a:ext uri="{FF2B5EF4-FFF2-40B4-BE49-F238E27FC236}">
              <a16:creationId xmlns:a16="http://schemas.microsoft.com/office/drawing/2014/main" id="{880760C0-0DC4-E358-72EC-A19D1647FB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197</xdr:row>
      <xdr:rowOff>133349</xdr:rowOff>
    </xdr:from>
    <xdr:to>
      <xdr:col>12</xdr:col>
      <xdr:colOff>390525</xdr:colOff>
      <xdr:row>217</xdr:row>
      <xdr:rowOff>28574</xdr:rowOff>
    </xdr:to>
    <xdr:graphicFrame macro="">
      <xdr:nvGraphicFramePr>
        <xdr:cNvPr id="9" name="Chart 8">
          <a:extLst>
            <a:ext uri="{FF2B5EF4-FFF2-40B4-BE49-F238E27FC236}">
              <a16:creationId xmlns:a16="http://schemas.microsoft.com/office/drawing/2014/main" id="{A7EE8134-C347-49A1-B28B-14EEC1CE79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19049</xdr:colOff>
      <xdr:row>0</xdr:row>
      <xdr:rowOff>19050</xdr:rowOff>
    </xdr:from>
    <xdr:to>
      <xdr:col>2</xdr:col>
      <xdr:colOff>733424</xdr:colOff>
      <xdr:row>2</xdr:row>
      <xdr:rowOff>152400</xdr:rowOff>
    </xdr:to>
    <xdr:sp macro="" textlink="">
      <xdr:nvSpPr>
        <xdr:cNvPr id="6" name="Rectangle 5">
          <a:extLst>
            <a:ext uri="{FF2B5EF4-FFF2-40B4-BE49-F238E27FC236}">
              <a16:creationId xmlns:a16="http://schemas.microsoft.com/office/drawing/2014/main" id="{27E9C48E-77A2-2938-4586-1626005C40E0}"/>
            </a:ext>
          </a:extLst>
        </xdr:cNvPr>
        <xdr:cNvSpPr/>
      </xdr:nvSpPr>
      <xdr:spPr>
        <a:xfrm>
          <a:off x="19049" y="19050"/>
          <a:ext cx="3971925" cy="51435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u="sng">
              <a:solidFill>
                <a:schemeClr val="accent3"/>
              </a:solidFill>
            </a:rPr>
            <a:t>Weekly Follower</a:t>
          </a:r>
          <a:r>
            <a:rPr lang="en-US" sz="1800" b="1" u="sng" baseline="0">
              <a:solidFill>
                <a:schemeClr val="accent3"/>
              </a:solidFill>
            </a:rPr>
            <a:t> Growth Per Platorm</a:t>
          </a:r>
          <a:endParaRPr lang="en-US" sz="1800" b="1" u="sng">
            <a:solidFill>
              <a:schemeClr val="accent3"/>
            </a:solidFill>
          </a:endParaRPr>
        </a:p>
      </xdr:txBody>
    </xdr:sp>
    <xdr:clientData/>
  </xdr:twoCellAnchor>
  <xdr:twoCellAnchor>
    <xdr:from>
      <xdr:col>0</xdr:col>
      <xdr:colOff>76199</xdr:colOff>
      <xdr:row>138</xdr:row>
      <xdr:rowOff>38099</xdr:rowOff>
    </xdr:from>
    <xdr:to>
      <xdr:col>4</xdr:col>
      <xdr:colOff>561975</xdr:colOff>
      <xdr:row>140</xdr:row>
      <xdr:rowOff>161924</xdr:rowOff>
    </xdr:to>
    <xdr:sp macro="" textlink="">
      <xdr:nvSpPr>
        <xdr:cNvPr id="10" name="Rectangle 9">
          <a:extLst>
            <a:ext uri="{FF2B5EF4-FFF2-40B4-BE49-F238E27FC236}">
              <a16:creationId xmlns:a16="http://schemas.microsoft.com/office/drawing/2014/main" id="{A1406524-458D-F5B6-C113-02A0A254F1C5}"/>
            </a:ext>
          </a:extLst>
        </xdr:cNvPr>
        <xdr:cNvSpPr/>
      </xdr:nvSpPr>
      <xdr:spPr>
        <a:xfrm>
          <a:off x="76199" y="26136599"/>
          <a:ext cx="4848226" cy="50482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u="sng">
              <a:solidFill>
                <a:schemeClr val="accent3"/>
              </a:solidFill>
            </a:rPr>
            <a:t>Used Moving Avrages To Smooth Growth Trends</a:t>
          </a:r>
        </a:p>
      </xdr:txBody>
    </xdr:sp>
    <xdr:clientData/>
  </xdr:twoCellAnchor>
  <xdr:twoCellAnchor>
    <xdr:from>
      <xdr:col>0</xdr:col>
      <xdr:colOff>19050</xdr:colOff>
      <xdr:row>194</xdr:row>
      <xdr:rowOff>28574</xdr:rowOff>
    </xdr:from>
    <xdr:to>
      <xdr:col>4</xdr:col>
      <xdr:colOff>571500</xdr:colOff>
      <xdr:row>196</xdr:row>
      <xdr:rowOff>152399</xdr:rowOff>
    </xdr:to>
    <xdr:sp macro="" textlink="">
      <xdr:nvSpPr>
        <xdr:cNvPr id="11" name="Rectangle 10">
          <a:extLst>
            <a:ext uri="{FF2B5EF4-FFF2-40B4-BE49-F238E27FC236}">
              <a16:creationId xmlns:a16="http://schemas.microsoft.com/office/drawing/2014/main" id="{D1C57983-1C1F-DE1E-1E12-081E32ADE53C}"/>
            </a:ext>
          </a:extLst>
        </xdr:cNvPr>
        <xdr:cNvSpPr/>
      </xdr:nvSpPr>
      <xdr:spPr>
        <a:xfrm>
          <a:off x="19050" y="36795074"/>
          <a:ext cx="4914900" cy="50482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u="sng">
              <a:solidFill>
                <a:schemeClr val="accent3"/>
              </a:solidFill>
            </a:rPr>
            <a:t>Relation</a:t>
          </a:r>
          <a:r>
            <a:rPr lang="en-US" sz="1800" b="1" u="sng" baseline="0">
              <a:solidFill>
                <a:schemeClr val="accent3"/>
              </a:solidFill>
            </a:rPr>
            <a:t> Between AD Spend And Follower growth</a:t>
          </a:r>
          <a:endParaRPr lang="en-US" sz="1800" b="1" u="sng">
            <a:solidFill>
              <a:schemeClr val="accent3"/>
            </a:solidFill>
          </a:endParaRPr>
        </a:p>
      </xdr:txBody>
    </xdr:sp>
    <xdr:clientData/>
  </xdr:twoCellAnchor>
  <xdr:twoCellAnchor>
    <xdr:from>
      <xdr:col>1</xdr:col>
      <xdr:colOff>28575</xdr:colOff>
      <xdr:row>218</xdr:row>
      <xdr:rowOff>47625</xdr:rowOff>
    </xdr:from>
    <xdr:to>
      <xdr:col>9</xdr:col>
      <xdr:colOff>581025</xdr:colOff>
      <xdr:row>225</xdr:row>
      <xdr:rowOff>171450</xdr:rowOff>
    </xdr:to>
    <xdr:sp macro="" textlink="">
      <xdr:nvSpPr>
        <xdr:cNvPr id="13" name="Rectangle 12">
          <a:extLst>
            <a:ext uri="{FF2B5EF4-FFF2-40B4-BE49-F238E27FC236}">
              <a16:creationId xmlns:a16="http://schemas.microsoft.com/office/drawing/2014/main" id="{6D5926AD-78D1-FA20-5219-B8D8D09C1C3F}"/>
            </a:ext>
          </a:extLst>
        </xdr:cNvPr>
        <xdr:cNvSpPr/>
      </xdr:nvSpPr>
      <xdr:spPr>
        <a:xfrm>
          <a:off x="2124075" y="41386125"/>
          <a:ext cx="5991225" cy="145732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accent3"/>
              </a:solidFill>
            </a:rPr>
            <a:t>"since</a:t>
          </a:r>
          <a:r>
            <a:rPr lang="en-US" sz="1600" baseline="0">
              <a:solidFill>
                <a:schemeClr val="accent3"/>
              </a:solidFill>
            </a:rPr>
            <a:t> it is clear from the above scatter plot that AD spending is not </a:t>
          </a:r>
        </a:p>
        <a:p>
          <a:pPr algn="l"/>
          <a:r>
            <a:rPr lang="en-US" sz="1600" baseline="0">
              <a:solidFill>
                <a:schemeClr val="accent3"/>
              </a:solidFill>
            </a:rPr>
            <a:t>  driving the followers growth as plot shows that even for high spending </a:t>
          </a:r>
        </a:p>
        <a:p>
          <a:pPr algn="l"/>
          <a:r>
            <a:rPr lang="en-US" sz="1600" baseline="0">
              <a:solidFill>
                <a:schemeClr val="accent3"/>
              </a:solidFill>
            </a:rPr>
            <a:t>   advertisement the growth rate is not up to that level. so, myntra should   </a:t>
          </a:r>
        </a:p>
        <a:p>
          <a:pPr algn="l"/>
          <a:r>
            <a:rPr lang="en-US" sz="1600" baseline="0">
              <a:solidFill>
                <a:schemeClr val="accent3"/>
              </a:solidFill>
            </a:rPr>
            <a:t>   spends moderate on AD and use that remaining budget to improve the</a:t>
          </a:r>
        </a:p>
        <a:p>
          <a:pPr algn="l"/>
          <a:r>
            <a:rPr lang="en-US" sz="1600" baseline="0">
              <a:solidFill>
                <a:schemeClr val="accent3"/>
              </a:solidFill>
            </a:rPr>
            <a:t>    quality of content."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uf saify" refreshedDate="46016.502483101853" createdVersion="8" refreshedVersion="8" minRefreshableVersion="3" recordCount="456" xr:uid="{9C949249-DE2C-4F94-BFC0-93E0A53BE3E0}">
  <cacheSource type="worksheet">
    <worksheetSource name="Post_hashtag"/>
  </cacheSource>
  <cacheFields count="14">
    <cacheField name="Post ID" numFmtId="0">
      <sharedItems count="300">
        <s v="P001"/>
        <s v="P002"/>
        <s v="P003"/>
        <s v="P004"/>
        <s v="P005"/>
        <s v="P006"/>
        <s v="P007"/>
        <s v="P008"/>
        <s v="P009"/>
        <s v="P010"/>
        <s v="P011"/>
        <s v="P012"/>
        <s v="P013"/>
        <s v="P014"/>
        <s v="P015"/>
        <s v="P016"/>
        <s v="P017"/>
        <s v="P018"/>
        <s v="P019"/>
        <s v="P020"/>
        <s v="P021"/>
        <s v="P022"/>
        <s v="P023"/>
        <s v="P024"/>
        <s v="P025"/>
        <s v="P026"/>
        <s v="P027"/>
        <s v="P028"/>
        <s v="P029"/>
        <s v="P030"/>
        <s v="P031"/>
        <s v="P032"/>
        <s v="P033"/>
        <s v="P034"/>
        <s v="P035"/>
        <s v="P036"/>
        <s v="P037"/>
        <s v="P038"/>
        <s v="P039"/>
        <s v="P040"/>
        <s v="P041"/>
        <s v="P042"/>
        <s v="P043"/>
        <s v="P044"/>
        <s v="P045"/>
        <s v="P046"/>
        <s v="P047"/>
        <s v="P048"/>
        <s v="P049"/>
        <s v="P050"/>
        <s v="P051"/>
        <s v="P052"/>
        <s v="P053"/>
        <s v="P054"/>
        <s v="P055"/>
        <s v="P056"/>
        <s v="P057"/>
        <s v="P058"/>
        <s v="P059"/>
        <s v="P060"/>
        <s v="P061"/>
        <s v="P062"/>
        <s v="P063"/>
        <s v="P064"/>
        <s v="P065"/>
        <s v="P066"/>
        <s v="P067"/>
        <s v="P068"/>
        <s v="P069"/>
        <s v="P070"/>
        <s v="P071"/>
        <s v="P072"/>
        <s v="P073"/>
        <s v="P074"/>
        <s v="P075"/>
        <s v="P076"/>
        <s v="P077"/>
        <s v="P078"/>
        <s v="P079"/>
        <s v="P080"/>
        <s v="P081"/>
        <s v="P082"/>
        <s v="P083"/>
        <s v="P084"/>
        <s v="P085"/>
        <s v="P086"/>
        <s v="P087"/>
        <s v="P088"/>
        <s v="P089"/>
        <s v="P090"/>
        <s v="P091"/>
        <s v="P092"/>
        <s v="P093"/>
        <s v="P094"/>
        <s v="P095"/>
        <s v="P096"/>
        <s v="P097"/>
        <s v="P098"/>
        <s v="P099"/>
        <s v="P100"/>
        <s v="P101"/>
        <s v="P102"/>
        <s v="P103"/>
        <s v="P104"/>
        <s v="P105"/>
        <s v="P106"/>
        <s v="P107"/>
        <s v="P108"/>
        <s v="P109"/>
        <s v="P110"/>
        <s v="P111"/>
        <s v="P112"/>
        <s v="P113"/>
        <s v="P114"/>
        <s v="P115"/>
        <s v="P116"/>
        <s v="P117"/>
        <s v="P118"/>
        <s v="P119"/>
        <s v="P120"/>
        <s v="P121"/>
        <s v="P122"/>
        <s v="P123"/>
        <s v="P124"/>
        <s v="P125"/>
        <s v="P126"/>
        <s v="P127"/>
        <s v="P128"/>
        <s v="P129"/>
        <s v="P130"/>
        <s v="P131"/>
        <s v="P132"/>
        <s v="P133"/>
        <s v="P134"/>
        <s v="P135"/>
        <s v="P136"/>
        <s v="P137"/>
        <s v="P138"/>
        <s v="P139"/>
        <s v="P140"/>
        <s v="P141"/>
        <s v="P142"/>
        <s v="P143"/>
        <s v="P144"/>
        <s v="P145"/>
        <s v="P146"/>
        <s v="P147"/>
        <s v="P148"/>
        <s v="P149"/>
        <s v="P150"/>
        <s v="P151"/>
        <s v="P152"/>
        <s v="P153"/>
        <s v="P154"/>
        <s v="P155"/>
        <s v="P156"/>
        <s v="P157"/>
        <s v="P158"/>
        <s v="P159"/>
        <s v="P160"/>
        <s v="P161"/>
        <s v="P162"/>
        <s v="P163"/>
        <s v="P164"/>
        <s v="P165"/>
        <s v="P166"/>
        <s v="P167"/>
        <s v="P168"/>
        <s v="P169"/>
        <s v="P170"/>
        <s v="P171"/>
        <s v="P172"/>
        <s v="P173"/>
        <s v="P174"/>
        <s v="P175"/>
        <s v="P176"/>
        <s v="P177"/>
        <s v="P178"/>
        <s v="P179"/>
        <s v="P180"/>
        <s v="P181"/>
        <s v="P182"/>
        <s v="P183"/>
        <s v="P184"/>
        <s v="P185"/>
        <s v="P186"/>
        <s v="P187"/>
        <s v="P188"/>
        <s v="P189"/>
        <s v="P190"/>
        <s v="P191"/>
        <s v="P192"/>
        <s v="P193"/>
        <s v="P194"/>
        <s v="P195"/>
        <s v="P196"/>
        <s v="P197"/>
        <s v="P198"/>
        <s v="P199"/>
        <s v="P200"/>
        <s v="P201"/>
        <s v="P202"/>
        <s v="P203"/>
        <s v="P204"/>
        <s v="P205"/>
        <s v="P206"/>
        <s v="P207"/>
        <s v="P208"/>
        <s v="P209"/>
        <s v="P210"/>
        <s v="P211"/>
        <s v="P212"/>
        <s v="P213"/>
        <s v="P214"/>
        <s v="P215"/>
        <s v="P216"/>
        <s v="P217"/>
        <s v="P218"/>
        <s v="P219"/>
        <s v="P220"/>
        <s v="P221"/>
        <s v="P222"/>
        <s v="P223"/>
        <s v="P224"/>
        <s v="P225"/>
        <s v="P226"/>
        <s v="P227"/>
        <s v="P228"/>
        <s v="P229"/>
        <s v="P230"/>
        <s v="P231"/>
        <s v="P232"/>
        <s v="P233"/>
        <s v="P234"/>
        <s v="P235"/>
        <s v="P236"/>
        <s v="P237"/>
        <s v="P238"/>
        <s v="P239"/>
        <s v="P240"/>
        <s v="P241"/>
        <s v="P242"/>
        <s v="P243"/>
        <s v="P244"/>
        <s v="P245"/>
        <s v="P246"/>
        <s v="P247"/>
        <s v="P248"/>
        <s v="P249"/>
        <s v="P250"/>
        <s v="P251"/>
        <s v="P252"/>
        <s v="P253"/>
        <s v="P254"/>
        <s v="P255"/>
        <s v="P256"/>
        <s v="P257"/>
        <s v="P258"/>
        <s v="P259"/>
        <s v="P260"/>
        <s v="P261"/>
        <s v="P262"/>
        <s v="P263"/>
        <s v="P264"/>
        <s v="P265"/>
        <s v="P266"/>
        <s v="P267"/>
        <s v="P268"/>
        <s v="P269"/>
        <s v="P270"/>
        <s v="P271"/>
        <s v="P272"/>
        <s v="P273"/>
        <s v="P274"/>
        <s v="P275"/>
        <s v="P276"/>
        <s v="P277"/>
        <s v="P278"/>
        <s v="P279"/>
        <s v="P280"/>
        <s v="P281"/>
        <s v="P282"/>
        <s v="P283"/>
        <s v="P284"/>
        <s v="P285"/>
        <s v="P286"/>
        <s v="P287"/>
        <s v="P288"/>
        <s v="P289"/>
        <s v="P290"/>
        <s v="P291"/>
        <s v="P292"/>
        <s v="P293"/>
        <s v="P294"/>
        <s v="P295"/>
        <s v="P296"/>
        <s v="P297"/>
        <s v="P298"/>
        <s v="P299"/>
        <s v="P300"/>
      </sharedItems>
    </cacheField>
    <cacheField name="Platform" numFmtId="0">
      <sharedItems count="4">
        <s v="Twitter"/>
        <s v="YouTube"/>
        <s v="Instagram"/>
        <s v="Facebook"/>
      </sharedItems>
    </cacheField>
    <cacheField name="Date" numFmtId="14">
      <sharedItems containsSemiMixedTypes="0" containsNonDate="0" containsDate="1" containsString="0" minDate="2024-06-01T00:00:00" maxDate="2025-05-15T00:00:00"/>
    </cacheField>
    <cacheField name="Content Type" numFmtId="0">
      <sharedItems count="6">
        <s v="Reel"/>
        <s v="Text"/>
        <s v="Story"/>
        <s v="Carousel"/>
        <s v="Image"/>
        <s v="Video"/>
      </sharedItems>
    </cacheField>
    <cacheField name="Post Text" numFmtId="0">
      <sharedItems/>
    </cacheField>
    <cacheField name="Likes" numFmtId="0">
      <sharedItems containsSemiMixedTypes="0" containsString="0" containsNumber="1" containsInteger="1" minValue="53" maxValue="4941"/>
    </cacheField>
    <cacheField name="Shares" numFmtId="0">
      <sharedItems containsSemiMixedTypes="0" containsString="0" containsNumber="1" containsInteger="1" minValue="10" maxValue="983"/>
    </cacheField>
    <cacheField name="Comments" numFmtId="0">
      <sharedItems containsSemiMixedTypes="0" containsString="0" containsNumber="1" containsInteger="1" minValue="7" maxValue="500"/>
    </cacheField>
    <cacheField name="Impressions" numFmtId="0">
      <sharedItems containsSemiMixedTypes="0" containsString="0" containsNumber="1" containsInteger="1" minValue="588" maxValue="98100"/>
    </cacheField>
    <cacheField name="Reach" numFmtId="0">
      <sharedItems containsSemiMixedTypes="0" containsString="0" containsNumber="1" containsInteger="1" minValue="7" maxValue="97772"/>
    </cacheField>
    <cacheField name="Clicks" numFmtId="0">
      <sharedItems containsSemiMixedTypes="0" containsString="0" containsNumber="1" containsInteger="1" minValue="10" maxValue="300"/>
    </cacheField>
    <cacheField name="Hashtags Used" numFmtId="0">
      <sharedItems count="5">
        <s v="#MyntraSale"/>
        <s v="#MyntraFashion"/>
        <s v="#StyleWithMyntra"/>
        <s v="#MyntraTrend"/>
        <s v="#FashionDeals"/>
      </sharedItems>
    </cacheField>
    <cacheField name="Campaign_Name" numFmtId="0">
      <sharedItems/>
    </cacheField>
    <cacheField name="Engagement_Rate" numFmtId="0">
      <sharedItems containsSemiMixedTypes="0" containsString="0" containsNumber="1" minValue="5.26" maxValue="181.29"/>
    </cacheField>
  </cacheFields>
  <extLst>
    <ext xmlns:x14="http://schemas.microsoft.com/office/spreadsheetml/2009/9/main" uri="{725AE2AE-9491-48be-B2B4-4EB974FC3084}">
      <x14:pivotCacheDefinition pivotCacheId="39087945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uf saify" refreshedDate="46019.091614120371" createdVersion="8" refreshedVersion="8" minRefreshableVersion="3" recordCount="300" xr:uid="{2A9FC8B9-C091-4746-B704-CA653972D541}">
  <cacheSource type="worksheet">
    <worksheetSource name="Post_Engagement"/>
  </cacheSource>
  <cacheFields count="17">
    <cacheField name="Post ID" numFmtId="0">
      <sharedItems/>
    </cacheField>
    <cacheField name="Platform" numFmtId="0">
      <sharedItems count="4">
        <s v="Twitter"/>
        <s v="YouTube"/>
        <s v="Instagram"/>
        <s v="Facebook"/>
      </sharedItems>
    </cacheField>
    <cacheField name="Date" numFmtId="14">
      <sharedItems containsSemiMixedTypes="0" containsNonDate="0" containsDate="1" containsString="0" minDate="2024-06-01T00:00:00" maxDate="2025-05-15T00:00:00"/>
    </cacheField>
    <cacheField name="Content Type" numFmtId="0">
      <sharedItems count="6">
        <s v="Reel"/>
        <s v="Story"/>
        <s v="Text"/>
        <s v="Carousel"/>
        <s v="Image"/>
        <s v="Video"/>
      </sharedItems>
    </cacheField>
    <cacheField name="Post Text" numFmtId="0">
      <sharedItems/>
    </cacheField>
    <cacheField name="Likes" numFmtId="0">
      <sharedItems containsSemiMixedTypes="0" containsString="0" containsNumber="1" containsInteger="1" minValue="53" maxValue="4941"/>
    </cacheField>
    <cacheField name="Shares" numFmtId="0">
      <sharedItems containsSemiMixedTypes="0" containsString="0" containsNumber="1" containsInteger="1" minValue="10" maxValue="983"/>
    </cacheField>
    <cacheField name="Comments" numFmtId="0">
      <sharedItems containsSemiMixedTypes="0" containsString="0" containsNumber="1" containsInteger="1" minValue="7" maxValue="500"/>
    </cacheField>
    <cacheField name="Impressions" numFmtId="0">
      <sharedItems containsSemiMixedTypes="0" containsString="0" containsNumber="1" containsInteger="1" minValue="588" maxValue="98100"/>
    </cacheField>
    <cacheField name="Reach" numFmtId="0">
      <sharedItems containsSemiMixedTypes="0" containsString="0" containsNumber="1" containsInteger="1" minValue="7" maxValue="97772"/>
    </cacheField>
    <cacheField name="Clicks" numFmtId="0">
      <sharedItems containsSemiMixedTypes="0" containsString="0" containsNumber="1" containsInteger="1" minValue="10" maxValue="300"/>
    </cacheField>
    <cacheField name="Hashtags Used" numFmtId="0">
      <sharedItems/>
    </cacheField>
    <cacheField name="Campaign_Name" numFmtId="0">
      <sharedItems count="4">
        <s v="FashionUpgrade"/>
        <s v="EndOfSeasonSale"/>
        <s v="MyntraFestiveEdit"/>
        <s v="StyleRevolution"/>
      </sharedItems>
    </cacheField>
    <cacheField name="Engagement_Rate" numFmtId="0">
      <sharedItems containsSemiMixedTypes="0" containsString="0" containsNumber="1" minValue="5.26" maxValue="181.29"/>
    </cacheField>
    <cacheField name="Start_Date" numFmtId="14">
      <sharedItems containsSemiMixedTypes="0" containsNonDate="0" containsDate="1" containsString="0" minDate="2024-06-10T00:00:00" maxDate="2025-01-11T00:00:00"/>
    </cacheField>
    <cacheField name="End_Date" numFmtId="14">
      <sharedItems containsSemiMixedTypes="0" containsNonDate="0" containsDate="1" containsString="0" minDate="2024-07-05T00:00:00" maxDate="2025-02-11T00:00:00"/>
    </cacheField>
    <cacheField name="Custom" numFmtId="0">
      <sharedItems count="3">
        <s v="After Campaign"/>
        <s v="During Campaign"/>
        <s v="Before Campaign"/>
      </sharedItems>
    </cacheField>
  </cacheFields>
  <extLst>
    <ext xmlns:x14="http://schemas.microsoft.com/office/spreadsheetml/2009/9/main" uri="{725AE2AE-9491-48be-B2B4-4EB974FC3084}">
      <x14:pivotCacheDefinition pivotCacheId="50540966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uf saify" refreshedDate="46019.6792255787" createdVersion="8" refreshedVersion="8" minRefreshableVersion="3" recordCount="200" xr:uid="{40F83D17-1C23-4E30-A568-C1DA8486ACB5}">
  <cacheSource type="worksheet">
    <worksheetSource name="Engagment_Summary"/>
  </cacheSource>
  <cacheFields count="10">
    <cacheField name="Week_Start_Date" numFmtId="14">
      <sharedItems containsSemiMixedTypes="0" containsNonDate="0" containsDate="1" containsString="0" minDate="2024-06-03T00:00:00" maxDate="2025-05-13T00:00:00" count="50">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sharedItems>
    </cacheField>
    <cacheField name="Platform" numFmtId="0">
      <sharedItems count="4">
        <s v="Instagram"/>
        <s v="Facebook"/>
        <s v="Twitter"/>
        <s v="YouTube"/>
      </sharedItems>
    </cacheField>
    <cacheField name="New_Followers" numFmtId="0">
      <sharedItems containsSemiMixedTypes="0" containsString="0" containsNumber="1" containsInteger="1" minValue="115" maxValue="1980"/>
    </cacheField>
    <cacheField name="Unfollows" numFmtId="0">
      <sharedItems containsSemiMixedTypes="0" containsString="0" containsNumber="1" containsInteger="1" minValue="20" maxValue="498"/>
    </cacheField>
    <cacheField name="Follower_Gain" numFmtId="0">
      <sharedItems containsSemiMixedTypes="0" containsString="0" containsNumber="1" containsInteger="1" minValue="-337" maxValue="1881"/>
    </cacheField>
    <cacheField name="Total_Followers" numFmtId="0">
      <sharedItems containsSemiMixedTypes="0" containsString="0" containsNumber="1" containsInteger="1" minValue="11435" maxValue="496982"/>
    </cacheField>
    <cacheField name="Engagement_Rate" numFmtId="2">
      <sharedItems containsSemiMixedTypes="0" containsString="0" containsNumber="1" minValue="1.53" maxValue="9.48"/>
    </cacheField>
    <cacheField name="Ad_Spend" numFmtId="0">
      <sharedItems containsSemiMixedTypes="0" containsString="0" containsNumber="1" containsInteger="1" minValue="1083" maxValue="49772"/>
    </cacheField>
    <cacheField name="Followersgrowth_Rate" numFmtId="2">
      <sharedItems containsSemiMixedTypes="0" containsString="0" containsNumber="1" minValue="-0.4081978730104896" maxValue="10.825114265095021"/>
    </cacheField>
    <cacheField name="Campaign" numFmtId="0">
      <sharedItems count="5">
        <s v="outside campaign"/>
        <s v="EndOfSeasonSale"/>
        <s v="FashionUpgrade"/>
        <s v="MyntraFestiveEdit"/>
        <s v="StyleRevolution"/>
      </sharedItems>
    </cacheField>
  </cacheFields>
  <extLst>
    <ext xmlns:x14="http://schemas.microsoft.com/office/spreadsheetml/2009/9/main" uri="{725AE2AE-9491-48be-B2B4-4EB974FC3084}">
      <x14:pivotCacheDefinition pivotCacheId="20402530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6">
  <r>
    <x v="0"/>
    <x v="0"/>
    <d v="2024-12-23T00:00:00"/>
    <x v="0"/>
    <s v="Explore the latest reel on Myntra! Trendy styles await."/>
    <n v="1461"/>
    <n v="184"/>
    <n v="344"/>
    <n v="21915"/>
    <n v="21675"/>
    <n v="15"/>
    <x v="0"/>
    <s v="FashionUpgrade"/>
    <n v="9.08"/>
  </r>
  <r>
    <x v="1"/>
    <x v="0"/>
    <d v="2025-04-03T00:00:00"/>
    <x v="1"/>
    <s v="Explore the latest text on Myntra! Trendy styles await."/>
    <n v="4054"/>
    <n v="389"/>
    <n v="493"/>
    <n v="64864"/>
    <n v="64383"/>
    <n v="117"/>
    <x v="1"/>
    <s v="EndOfSeasonSale"/>
    <n v="7.61"/>
  </r>
  <r>
    <x v="2"/>
    <x v="1"/>
    <d v="2025-05-12T00:00:00"/>
    <x v="0"/>
    <s v="Explore the latest reel on Myntra! Trendy styles await."/>
    <n v="2795"/>
    <n v="105"/>
    <n v="49"/>
    <n v="53105"/>
    <n v="52307"/>
    <n v="204"/>
    <x v="1"/>
    <s v="FashionUpgrade"/>
    <n v="5.55"/>
  </r>
  <r>
    <x v="2"/>
    <x v="1"/>
    <d v="2025-05-12T00:00:00"/>
    <x v="0"/>
    <s v="Explore the latest reel on Myntra! Trendy styles await."/>
    <n v="2795"/>
    <n v="105"/>
    <n v="49"/>
    <n v="53105"/>
    <n v="52307"/>
    <n v="204"/>
    <x v="0"/>
    <s v="FashionUpgrade"/>
    <n v="5.55"/>
  </r>
  <r>
    <x v="3"/>
    <x v="2"/>
    <d v="2024-08-12T00:00:00"/>
    <x v="2"/>
    <s v="Explore the latest story on Myntra! Trendy styles await."/>
    <n v="2404"/>
    <n v="363"/>
    <n v="138"/>
    <n v="19232"/>
    <n v="18636"/>
    <n v="128"/>
    <x v="0"/>
    <s v="FashionUpgrade"/>
    <n v="15.11"/>
  </r>
  <r>
    <x v="4"/>
    <x v="1"/>
    <d v="2024-06-26T00:00:00"/>
    <x v="0"/>
    <s v="Explore the latest reel on Myntra! Trendy styles await."/>
    <n v="3557"/>
    <n v="687"/>
    <n v="424"/>
    <n v="71140"/>
    <n v="70701"/>
    <n v="224"/>
    <x v="2"/>
    <s v="MyntraFestiveEdit"/>
    <n v="6.56"/>
  </r>
  <r>
    <x v="4"/>
    <x v="1"/>
    <d v="2024-06-26T00:00:00"/>
    <x v="0"/>
    <s v="Explore the latest reel on Myntra! Trendy styles await."/>
    <n v="3557"/>
    <n v="687"/>
    <n v="424"/>
    <n v="71140"/>
    <n v="70701"/>
    <n v="224"/>
    <x v="1"/>
    <s v="MyntraFestiveEdit"/>
    <n v="6.56"/>
  </r>
  <r>
    <x v="5"/>
    <x v="3"/>
    <d v="2024-10-31T00:00:00"/>
    <x v="3"/>
    <s v="Explore the latest carousel on Myntra! Trendy styles await."/>
    <n v="2945"/>
    <n v="930"/>
    <n v="355"/>
    <n v="23560"/>
    <n v="23275"/>
    <n v="256"/>
    <x v="3"/>
    <s v="EndOfSeasonSale"/>
    <n v="17.95"/>
  </r>
  <r>
    <x v="6"/>
    <x v="0"/>
    <d v="2024-06-24T00:00:00"/>
    <x v="3"/>
    <s v="Explore the latest carousel on Myntra! Trendy styles await."/>
    <n v="3860"/>
    <n v="201"/>
    <n v="279"/>
    <n v="61760"/>
    <n v="61660"/>
    <n v="235"/>
    <x v="3"/>
    <s v="MyntraFestiveEdit"/>
    <n v="7.03"/>
  </r>
  <r>
    <x v="7"/>
    <x v="1"/>
    <d v="2024-07-13T00:00:00"/>
    <x v="4"/>
    <s v="Explore the latest image on Myntra! Trendy styles await."/>
    <n v="3929"/>
    <n v="262"/>
    <n v="278"/>
    <n v="43219"/>
    <n v="42841"/>
    <n v="39"/>
    <x v="1"/>
    <s v="MyntraFestiveEdit"/>
    <n v="10.34"/>
  </r>
  <r>
    <x v="7"/>
    <x v="1"/>
    <d v="2024-07-13T00:00:00"/>
    <x v="4"/>
    <s v="Explore the latest image on Myntra! Trendy styles await."/>
    <n v="3929"/>
    <n v="262"/>
    <n v="278"/>
    <n v="43219"/>
    <n v="42841"/>
    <n v="39"/>
    <x v="0"/>
    <s v="MyntraFestiveEdit"/>
    <n v="10.34"/>
  </r>
  <r>
    <x v="8"/>
    <x v="3"/>
    <d v="2024-08-30T00:00:00"/>
    <x v="1"/>
    <s v="Explore the latest text on Myntra! Trendy styles await."/>
    <n v="3784"/>
    <n v="808"/>
    <n v="404"/>
    <n v="56760"/>
    <n v="56343"/>
    <n v="131"/>
    <x v="1"/>
    <s v="MyntraFestiveEdit"/>
    <n v="8.8000000000000007"/>
  </r>
  <r>
    <x v="8"/>
    <x v="3"/>
    <d v="2024-08-30T00:00:00"/>
    <x v="1"/>
    <s v="Explore the latest text on Myntra! Trendy styles await."/>
    <n v="3784"/>
    <n v="808"/>
    <n v="404"/>
    <n v="56760"/>
    <n v="56343"/>
    <n v="131"/>
    <x v="0"/>
    <s v="MyntraFestiveEdit"/>
    <n v="8.8000000000000007"/>
  </r>
  <r>
    <x v="9"/>
    <x v="3"/>
    <d v="2025-03-11T00:00:00"/>
    <x v="4"/>
    <s v="Explore the latest image on Myntra! Trendy styles await."/>
    <n v="4241"/>
    <n v="902"/>
    <n v="47"/>
    <n v="72097"/>
    <n v="71598"/>
    <n v="167"/>
    <x v="3"/>
    <s v="StyleRevolution"/>
    <n v="7.2"/>
  </r>
  <r>
    <x v="10"/>
    <x v="2"/>
    <d v="2025-02-02T00:00:00"/>
    <x v="2"/>
    <s v="Explore the latest story on Myntra! Trendy styles await."/>
    <n v="1792"/>
    <n v="614"/>
    <n v="497"/>
    <n v="25088"/>
    <n v="24675"/>
    <n v="65"/>
    <x v="2"/>
    <s v="FashionUpgrade"/>
    <n v="11.57"/>
  </r>
  <r>
    <x v="11"/>
    <x v="3"/>
    <d v="2024-07-21T00:00:00"/>
    <x v="0"/>
    <s v="Explore the latest reel on Myntra! Trendy styles await."/>
    <n v="1946"/>
    <n v="686"/>
    <n v="377"/>
    <n v="23352"/>
    <n v="22982"/>
    <n v="213"/>
    <x v="2"/>
    <s v="MyntraFestiveEdit"/>
    <n v="12.89"/>
  </r>
  <r>
    <x v="11"/>
    <x v="3"/>
    <d v="2024-07-21T00:00:00"/>
    <x v="0"/>
    <s v="Explore the latest reel on Myntra! Trendy styles await."/>
    <n v="1946"/>
    <n v="686"/>
    <n v="377"/>
    <n v="23352"/>
    <n v="22982"/>
    <n v="213"/>
    <x v="0"/>
    <s v="MyntraFestiveEdit"/>
    <n v="12.89"/>
  </r>
  <r>
    <x v="12"/>
    <x v="1"/>
    <d v="2024-11-18T00:00:00"/>
    <x v="3"/>
    <s v="Explore the latest carousel on Myntra! Trendy styles await."/>
    <n v="1171"/>
    <n v="286"/>
    <n v="231"/>
    <n v="22249"/>
    <n v="21282"/>
    <n v="114"/>
    <x v="1"/>
    <s v="StyleRevolution"/>
    <n v="7.59"/>
  </r>
  <r>
    <x v="13"/>
    <x v="3"/>
    <d v="2025-02-16T00:00:00"/>
    <x v="2"/>
    <s v="Explore the latest story on Myntra! Trendy styles await."/>
    <n v="4242"/>
    <n v="555"/>
    <n v="131"/>
    <n v="33936"/>
    <n v="33802"/>
    <n v="265"/>
    <x v="0"/>
    <s v="MyntraFestiveEdit"/>
    <n v="14.52"/>
  </r>
  <r>
    <x v="13"/>
    <x v="3"/>
    <d v="2025-02-16T00:00:00"/>
    <x v="2"/>
    <s v="Explore the latest story on Myntra! Trendy styles await."/>
    <n v="4242"/>
    <n v="555"/>
    <n v="131"/>
    <n v="33936"/>
    <n v="33802"/>
    <n v="265"/>
    <x v="1"/>
    <s v="MyntraFestiveEdit"/>
    <n v="14.52"/>
  </r>
  <r>
    <x v="14"/>
    <x v="3"/>
    <d v="2024-10-24T00:00:00"/>
    <x v="5"/>
    <s v="Explore the latest video on Myntra! Trendy styles await."/>
    <n v="3888"/>
    <n v="604"/>
    <n v="128"/>
    <n v="77760"/>
    <n v="77167"/>
    <n v="20"/>
    <x v="1"/>
    <s v="FashionUpgrade"/>
    <n v="5.94"/>
  </r>
  <r>
    <x v="14"/>
    <x v="3"/>
    <d v="2024-10-24T00:00:00"/>
    <x v="5"/>
    <s v="Explore the latest video on Myntra! Trendy styles await."/>
    <n v="3888"/>
    <n v="604"/>
    <n v="128"/>
    <n v="77760"/>
    <n v="77167"/>
    <n v="20"/>
    <x v="4"/>
    <s v="FashionUpgrade"/>
    <n v="5.94"/>
  </r>
  <r>
    <x v="15"/>
    <x v="3"/>
    <d v="2024-08-26T00:00:00"/>
    <x v="1"/>
    <s v="Explore the latest text on Myntra! Trendy styles await."/>
    <n v="3452"/>
    <n v="377"/>
    <n v="360"/>
    <n v="55232"/>
    <n v="55075"/>
    <n v="87"/>
    <x v="0"/>
    <s v="MyntraFestiveEdit"/>
    <n v="7.58"/>
  </r>
  <r>
    <x v="15"/>
    <x v="3"/>
    <d v="2024-08-26T00:00:00"/>
    <x v="1"/>
    <s v="Explore the latest text on Myntra! Trendy styles await."/>
    <n v="3452"/>
    <n v="377"/>
    <n v="360"/>
    <n v="55232"/>
    <n v="55075"/>
    <n v="87"/>
    <x v="4"/>
    <s v="MyntraFestiveEdit"/>
    <n v="7.58"/>
  </r>
  <r>
    <x v="16"/>
    <x v="3"/>
    <d v="2025-05-05T00:00:00"/>
    <x v="1"/>
    <s v="Explore the latest text on Myntra! Trendy styles await."/>
    <n v="4441"/>
    <n v="511"/>
    <n v="70"/>
    <n v="53292"/>
    <n v="53082"/>
    <n v="159"/>
    <x v="4"/>
    <s v="MyntraFestiveEdit"/>
    <n v="9.42"/>
  </r>
  <r>
    <x v="17"/>
    <x v="2"/>
    <d v="2024-08-19T00:00:00"/>
    <x v="0"/>
    <s v="Explore the latest reel on Myntra! Trendy styles await."/>
    <n v="3000"/>
    <n v="382"/>
    <n v="325"/>
    <n v="36000"/>
    <n v="35819"/>
    <n v="19"/>
    <x v="2"/>
    <s v="EndOfSeasonSale"/>
    <n v="10.3"/>
  </r>
  <r>
    <x v="18"/>
    <x v="2"/>
    <d v="2024-06-23T00:00:00"/>
    <x v="5"/>
    <s v="Explore the latest video on Myntra! Trendy styles await."/>
    <n v="1071"/>
    <n v="519"/>
    <n v="22"/>
    <n v="16065"/>
    <n v="15865"/>
    <n v="103"/>
    <x v="0"/>
    <s v="MyntraFestiveEdit"/>
    <n v="10.029999999999999"/>
  </r>
  <r>
    <x v="18"/>
    <x v="2"/>
    <d v="2024-06-23T00:00:00"/>
    <x v="5"/>
    <s v="Explore the latest video on Myntra! Trendy styles await."/>
    <n v="1071"/>
    <n v="519"/>
    <n v="22"/>
    <n v="16065"/>
    <n v="15865"/>
    <n v="103"/>
    <x v="2"/>
    <s v="MyntraFestiveEdit"/>
    <n v="10.029999999999999"/>
  </r>
  <r>
    <x v="19"/>
    <x v="2"/>
    <d v="2024-09-09T00:00:00"/>
    <x v="3"/>
    <s v="Explore the latest carousel on Myntra! Trendy styles await."/>
    <n v="4054"/>
    <n v="488"/>
    <n v="373"/>
    <n v="77026"/>
    <n v="76881"/>
    <n v="25"/>
    <x v="1"/>
    <s v="MyntraFestiveEdit"/>
    <n v="6.38"/>
  </r>
  <r>
    <x v="19"/>
    <x v="2"/>
    <d v="2024-09-09T00:00:00"/>
    <x v="3"/>
    <s v="Explore the latest carousel on Myntra! Trendy styles await."/>
    <n v="4054"/>
    <n v="488"/>
    <n v="373"/>
    <n v="77026"/>
    <n v="76881"/>
    <n v="25"/>
    <x v="0"/>
    <s v="MyntraFestiveEdit"/>
    <n v="6.38"/>
  </r>
  <r>
    <x v="20"/>
    <x v="2"/>
    <d v="2025-01-04T00:00:00"/>
    <x v="0"/>
    <s v="Explore the latest reel on Myntra! Trendy styles await."/>
    <n v="4838"/>
    <n v="640"/>
    <n v="128"/>
    <n v="72570"/>
    <n v="72396"/>
    <n v="83"/>
    <x v="2"/>
    <s v="MyntraFestiveEdit"/>
    <n v="7.72"/>
  </r>
  <r>
    <x v="20"/>
    <x v="2"/>
    <d v="2025-01-04T00:00:00"/>
    <x v="0"/>
    <s v="Explore the latest reel on Myntra! Trendy styles await."/>
    <n v="4838"/>
    <n v="640"/>
    <n v="128"/>
    <n v="72570"/>
    <n v="72396"/>
    <n v="83"/>
    <x v="3"/>
    <s v="MyntraFestiveEdit"/>
    <n v="7.72"/>
  </r>
  <r>
    <x v="21"/>
    <x v="3"/>
    <d v="2025-02-27T00:00:00"/>
    <x v="1"/>
    <s v="Explore the latest text on Myntra! Trendy styles await."/>
    <n v="1570"/>
    <n v="187"/>
    <n v="260"/>
    <n v="25120"/>
    <n v="24613"/>
    <n v="133"/>
    <x v="0"/>
    <s v="StyleRevolution"/>
    <n v="8.0299999999999994"/>
  </r>
  <r>
    <x v="22"/>
    <x v="3"/>
    <d v="2024-11-06T00:00:00"/>
    <x v="5"/>
    <s v="Explore the latest video on Myntra! Trendy styles await."/>
    <n v="1606"/>
    <n v="547"/>
    <n v="316"/>
    <n v="32120"/>
    <n v="31736"/>
    <n v="225"/>
    <x v="0"/>
    <s v="MyntraFestiveEdit"/>
    <n v="7.69"/>
  </r>
  <r>
    <x v="23"/>
    <x v="3"/>
    <d v="2025-01-23T00:00:00"/>
    <x v="5"/>
    <s v="Explore the latest video on Myntra! Trendy styles await."/>
    <n v="3961"/>
    <n v="761"/>
    <n v="131"/>
    <n v="67337"/>
    <n v="66615"/>
    <n v="161"/>
    <x v="3"/>
    <s v="EndOfSeasonSale"/>
    <n v="7.21"/>
  </r>
  <r>
    <x v="24"/>
    <x v="0"/>
    <d v="2025-04-10T00:00:00"/>
    <x v="3"/>
    <s v="Explore the latest carousel on Myntra! Trendy styles await."/>
    <n v="3128"/>
    <n v="211"/>
    <n v="197"/>
    <n v="59432"/>
    <n v="59182"/>
    <n v="238"/>
    <x v="2"/>
    <s v="FashionUpgrade"/>
    <n v="5.95"/>
  </r>
  <r>
    <x v="24"/>
    <x v="0"/>
    <d v="2025-04-10T00:00:00"/>
    <x v="3"/>
    <s v="Explore the latest carousel on Myntra! Trendy styles await."/>
    <n v="3128"/>
    <n v="211"/>
    <n v="197"/>
    <n v="59432"/>
    <n v="59182"/>
    <n v="238"/>
    <x v="0"/>
    <s v="FashionUpgrade"/>
    <n v="5.95"/>
  </r>
  <r>
    <x v="25"/>
    <x v="1"/>
    <d v="2025-04-05T00:00:00"/>
    <x v="0"/>
    <s v="Explore the latest reel on Myntra! Trendy styles await."/>
    <n v="3009"/>
    <n v="413"/>
    <n v="358"/>
    <n v="42126"/>
    <n v="41309"/>
    <n v="211"/>
    <x v="0"/>
    <s v="EndOfSeasonSale"/>
    <n v="8.9700000000000006"/>
  </r>
  <r>
    <x v="26"/>
    <x v="1"/>
    <d v="2024-09-17T00:00:00"/>
    <x v="1"/>
    <s v="Explore the latest text on Myntra! Trendy styles await."/>
    <n v="2076"/>
    <n v="195"/>
    <n v="104"/>
    <n v="33216"/>
    <n v="32244"/>
    <n v="51"/>
    <x v="3"/>
    <s v="StyleRevolution"/>
    <n v="7.15"/>
  </r>
  <r>
    <x v="27"/>
    <x v="2"/>
    <d v="2025-03-04T00:00:00"/>
    <x v="5"/>
    <s v="Explore the latest video on Myntra! Trendy styles await."/>
    <n v="432"/>
    <n v="624"/>
    <n v="123"/>
    <n v="6912"/>
    <n v="6259"/>
    <n v="79"/>
    <x v="0"/>
    <s v="EndOfSeasonSale"/>
    <n v="17.059999999999999"/>
  </r>
  <r>
    <x v="27"/>
    <x v="2"/>
    <d v="2025-03-04T00:00:00"/>
    <x v="5"/>
    <s v="Explore the latest video on Myntra! Trendy styles await."/>
    <n v="432"/>
    <n v="624"/>
    <n v="123"/>
    <n v="6912"/>
    <n v="6259"/>
    <n v="79"/>
    <x v="3"/>
    <s v="EndOfSeasonSale"/>
    <n v="17.059999999999999"/>
  </r>
  <r>
    <x v="28"/>
    <x v="2"/>
    <d v="2025-01-31T00:00:00"/>
    <x v="3"/>
    <s v="Explore the latest carousel on Myntra! Trendy styles await."/>
    <n v="2566"/>
    <n v="118"/>
    <n v="37"/>
    <n v="12830"/>
    <n v="12264"/>
    <n v="221"/>
    <x v="3"/>
    <s v="MyntraFestiveEdit"/>
    <n v="21.21"/>
  </r>
  <r>
    <x v="28"/>
    <x v="2"/>
    <d v="2025-01-31T00:00:00"/>
    <x v="3"/>
    <s v="Explore the latest carousel on Myntra! Trendy styles await."/>
    <n v="2566"/>
    <n v="118"/>
    <n v="37"/>
    <n v="12830"/>
    <n v="12264"/>
    <n v="221"/>
    <x v="1"/>
    <s v="MyntraFestiveEdit"/>
    <n v="21.21"/>
  </r>
  <r>
    <x v="29"/>
    <x v="2"/>
    <d v="2025-02-25T00:00:00"/>
    <x v="5"/>
    <s v="Explore the latest video on Myntra! Trendy styles await."/>
    <n v="3095"/>
    <n v="39"/>
    <n v="78"/>
    <n v="55710"/>
    <n v="54808"/>
    <n v="93"/>
    <x v="0"/>
    <s v="StyleRevolution"/>
    <n v="5.77"/>
  </r>
  <r>
    <x v="30"/>
    <x v="2"/>
    <d v="2024-12-16T00:00:00"/>
    <x v="1"/>
    <s v="Explore the latest text on Myntra! Trendy styles await."/>
    <n v="438"/>
    <n v="153"/>
    <n v="275"/>
    <n v="3066"/>
    <n v="2701"/>
    <n v="282"/>
    <x v="3"/>
    <s v="StyleRevolution"/>
    <n v="28.25"/>
  </r>
  <r>
    <x v="31"/>
    <x v="0"/>
    <d v="2024-07-31T00:00:00"/>
    <x v="3"/>
    <s v="Explore the latest carousel on Myntra! Trendy styles await."/>
    <n v="2278"/>
    <n v="10"/>
    <n v="321"/>
    <n v="13668"/>
    <n v="12676"/>
    <n v="275"/>
    <x v="3"/>
    <s v="StyleRevolution"/>
    <n v="19.09"/>
  </r>
  <r>
    <x v="31"/>
    <x v="0"/>
    <d v="2024-07-31T00:00:00"/>
    <x v="3"/>
    <s v="Explore the latest carousel on Myntra! Trendy styles await."/>
    <n v="2278"/>
    <n v="10"/>
    <n v="321"/>
    <n v="13668"/>
    <n v="12676"/>
    <n v="275"/>
    <x v="1"/>
    <s v="StyleRevolution"/>
    <n v="19.09"/>
  </r>
  <r>
    <x v="32"/>
    <x v="3"/>
    <d v="2024-08-21T00:00:00"/>
    <x v="4"/>
    <s v="Explore the latest image on Myntra! Trendy styles await."/>
    <n v="1407"/>
    <n v="400"/>
    <n v="351"/>
    <n v="16884"/>
    <n v="15954"/>
    <n v="113"/>
    <x v="1"/>
    <s v="MyntraFestiveEdit"/>
    <n v="12.78"/>
  </r>
  <r>
    <x v="32"/>
    <x v="3"/>
    <d v="2024-08-21T00:00:00"/>
    <x v="4"/>
    <s v="Explore the latest image on Myntra! Trendy styles await."/>
    <n v="1407"/>
    <n v="400"/>
    <n v="351"/>
    <n v="16884"/>
    <n v="15954"/>
    <n v="113"/>
    <x v="4"/>
    <s v="MyntraFestiveEdit"/>
    <n v="12.78"/>
  </r>
  <r>
    <x v="33"/>
    <x v="3"/>
    <d v="2025-03-26T00:00:00"/>
    <x v="1"/>
    <s v="Explore the latest text on Myntra! Trendy styles await."/>
    <n v="1652"/>
    <n v="89"/>
    <n v="357"/>
    <n v="29736"/>
    <n v="28771"/>
    <n v="215"/>
    <x v="3"/>
    <s v="EndOfSeasonSale"/>
    <n v="7.06"/>
  </r>
  <r>
    <x v="33"/>
    <x v="3"/>
    <d v="2025-03-26T00:00:00"/>
    <x v="1"/>
    <s v="Explore the latest text on Myntra! Trendy styles await."/>
    <n v="1652"/>
    <n v="89"/>
    <n v="357"/>
    <n v="29736"/>
    <n v="28771"/>
    <n v="215"/>
    <x v="4"/>
    <s v="EndOfSeasonSale"/>
    <n v="7.06"/>
  </r>
  <r>
    <x v="34"/>
    <x v="2"/>
    <d v="2024-11-30T00:00:00"/>
    <x v="5"/>
    <s v="Explore the latest video on Myntra! Trendy styles await."/>
    <n v="3775"/>
    <n v="16"/>
    <n v="239"/>
    <n v="33975"/>
    <n v="33310"/>
    <n v="271"/>
    <x v="2"/>
    <s v="MyntraFestiveEdit"/>
    <n v="11.86"/>
  </r>
  <r>
    <x v="34"/>
    <x v="2"/>
    <d v="2024-11-30T00:00:00"/>
    <x v="5"/>
    <s v="Explore the latest video on Myntra! Trendy styles await."/>
    <n v="3775"/>
    <n v="16"/>
    <n v="239"/>
    <n v="33975"/>
    <n v="33310"/>
    <n v="271"/>
    <x v="0"/>
    <s v="MyntraFestiveEdit"/>
    <n v="11.86"/>
  </r>
  <r>
    <x v="35"/>
    <x v="2"/>
    <d v="2025-04-19T00:00:00"/>
    <x v="2"/>
    <s v="Explore the latest story on Myntra! Trendy styles await."/>
    <n v="4518"/>
    <n v="285"/>
    <n v="383"/>
    <n v="67770"/>
    <n v="67621"/>
    <n v="31"/>
    <x v="4"/>
    <s v="EndOfSeasonSale"/>
    <n v="7.65"/>
  </r>
  <r>
    <x v="36"/>
    <x v="3"/>
    <d v="2025-01-06T00:00:00"/>
    <x v="3"/>
    <s v="Explore the latest carousel on Myntra! Trendy styles await."/>
    <n v="3024"/>
    <n v="925"/>
    <n v="350"/>
    <n v="24192"/>
    <n v="23518"/>
    <n v="36"/>
    <x v="0"/>
    <s v="MyntraFestiveEdit"/>
    <n v="17.77"/>
  </r>
  <r>
    <x v="37"/>
    <x v="1"/>
    <d v="2025-02-17T00:00:00"/>
    <x v="0"/>
    <s v="Explore the latest reel on Myntra! Trendy styles await."/>
    <n v="3138"/>
    <n v="123"/>
    <n v="291"/>
    <n v="28242"/>
    <n v="27550"/>
    <n v="87"/>
    <x v="4"/>
    <s v="StyleRevolution"/>
    <n v="12.58"/>
  </r>
  <r>
    <x v="38"/>
    <x v="3"/>
    <d v="2024-11-25T00:00:00"/>
    <x v="4"/>
    <s v="Explore the latest image on Myntra! Trendy styles await."/>
    <n v="3564"/>
    <n v="629"/>
    <n v="177"/>
    <n v="60588"/>
    <n v="59627"/>
    <n v="92"/>
    <x v="4"/>
    <s v="MyntraFestiveEdit"/>
    <n v="7.21"/>
  </r>
  <r>
    <x v="38"/>
    <x v="3"/>
    <d v="2024-11-25T00:00:00"/>
    <x v="4"/>
    <s v="Explore the latest image on Myntra! Trendy styles await."/>
    <n v="3564"/>
    <n v="629"/>
    <n v="177"/>
    <n v="60588"/>
    <n v="59627"/>
    <n v="92"/>
    <x v="0"/>
    <s v="MyntraFestiveEdit"/>
    <n v="7.21"/>
  </r>
  <r>
    <x v="39"/>
    <x v="0"/>
    <d v="2025-03-07T00:00:00"/>
    <x v="4"/>
    <s v="Explore the latest image on Myntra! Trendy styles await."/>
    <n v="4750"/>
    <n v="151"/>
    <n v="415"/>
    <n v="38000"/>
    <n v="37792"/>
    <n v="299"/>
    <x v="2"/>
    <s v="EndOfSeasonSale"/>
    <n v="13.99"/>
  </r>
  <r>
    <x v="39"/>
    <x v="0"/>
    <d v="2025-03-07T00:00:00"/>
    <x v="4"/>
    <s v="Explore the latest image on Myntra! Trendy styles await."/>
    <n v="4750"/>
    <n v="151"/>
    <n v="415"/>
    <n v="38000"/>
    <n v="37792"/>
    <n v="299"/>
    <x v="0"/>
    <s v="EndOfSeasonSale"/>
    <n v="13.99"/>
  </r>
  <r>
    <x v="40"/>
    <x v="2"/>
    <d v="2025-03-08T00:00:00"/>
    <x v="0"/>
    <s v="Explore the latest reel on Myntra! Trendy styles await."/>
    <n v="456"/>
    <n v="629"/>
    <n v="428"/>
    <n v="8208"/>
    <n v="7377"/>
    <n v="205"/>
    <x v="0"/>
    <s v="MyntraFestiveEdit"/>
    <n v="18.43"/>
  </r>
  <r>
    <x v="40"/>
    <x v="2"/>
    <d v="2025-03-08T00:00:00"/>
    <x v="0"/>
    <s v="Explore the latest reel on Myntra! Trendy styles await."/>
    <n v="456"/>
    <n v="629"/>
    <n v="428"/>
    <n v="8208"/>
    <n v="7377"/>
    <n v="205"/>
    <x v="4"/>
    <s v="MyntraFestiveEdit"/>
    <n v="18.43"/>
  </r>
  <r>
    <x v="41"/>
    <x v="1"/>
    <d v="2025-03-05T00:00:00"/>
    <x v="0"/>
    <s v="Explore the latest reel on Myntra! Trendy styles await."/>
    <n v="1543"/>
    <n v="820"/>
    <n v="333"/>
    <n v="12344"/>
    <n v="11496"/>
    <n v="241"/>
    <x v="2"/>
    <s v="MyntraFestiveEdit"/>
    <n v="21.84"/>
  </r>
  <r>
    <x v="42"/>
    <x v="2"/>
    <d v="2024-12-14T00:00:00"/>
    <x v="3"/>
    <s v="Explore the latest carousel on Myntra! Trendy styles await."/>
    <n v="2174"/>
    <n v="658"/>
    <n v="15"/>
    <n v="13044"/>
    <n v="12206"/>
    <n v="137"/>
    <x v="0"/>
    <s v="StyleRevolution"/>
    <n v="21.83"/>
  </r>
  <r>
    <x v="42"/>
    <x v="2"/>
    <d v="2024-12-14T00:00:00"/>
    <x v="3"/>
    <s v="Explore the latest carousel on Myntra! Trendy styles await."/>
    <n v="2174"/>
    <n v="658"/>
    <n v="15"/>
    <n v="13044"/>
    <n v="12206"/>
    <n v="137"/>
    <x v="1"/>
    <s v="StyleRevolution"/>
    <n v="21.83"/>
  </r>
  <r>
    <x v="43"/>
    <x v="0"/>
    <d v="2025-03-02T00:00:00"/>
    <x v="4"/>
    <s v="Explore the latest image on Myntra! Trendy styles await."/>
    <n v="2358"/>
    <n v="784"/>
    <n v="344"/>
    <n v="35370"/>
    <n v="34475"/>
    <n v="216"/>
    <x v="0"/>
    <s v="FashionUpgrade"/>
    <n v="9.86"/>
  </r>
  <r>
    <x v="43"/>
    <x v="0"/>
    <d v="2025-03-02T00:00:00"/>
    <x v="4"/>
    <s v="Explore the latest image on Myntra! Trendy styles await."/>
    <n v="2358"/>
    <n v="784"/>
    <n v="344"/>
    <n v="35370"/>
    <n v="34475"/>
    <n v="216"/>
    <x v="2"/>
    <s v="FashionUpgrade"/>
    <n v="9.86"/>
  </r>
  <r>
    <x v="44"/>
    <x v="3"/>
    <d v="2024-11-01T00:00:00"/>
    <x v="5"/>
    <s v="Explore the latest video on Myntra! Trendy styles await."/>
    <n v="3371"/>
    <n v="106"/>
    <n v="327"/>
    <n v="50565"/>
    <n v="49816"/>
    <n v="176"/>
    <x v="4"/>
    <s v="StyleRevolution"/>
    <n v="7.52"/>
  </r>
  <r>
    <x v="45"/>
    <x v="0"/>
    <d v="2025-05-02T00:00:00"/>
    <x v="5"/>
    <s v="Explore the latest video on Myntra! Trendy styles await."/>
    <n v="1108"/>
    <n v="177"/>
    <n v="212"/>
    <n v="8864"/>
    <n v="8710"/>
    <n v="97"/>
    <x v="1"/>
    <s v="StyleRevolution"/>
    <n v="16.89"/>
  </r>
  <r>
    <x v="46"/>
    <x v="0"/>
    <d v="2025-02-24T00:00:00"/>
    <x v="3"/>
    <s v="Explore the latest carousel on Myntra! Trendy styles await."/>
    <n v="2704"/>
    <n v="752"/>
    <n v="153"/>
    <n v="21632"/>
    <n v="20792"/>
    <n v="127"/>
    <x v="4"/>
    <s v="FashionUpgrade"/>
    <n v="16.68"/>
  </r>
  <r>
    <x v="46"/>
    <x v="0"/>
    <d v="2025-02-24T00:00:00"/>
    <x v="3"/>
    <s v="Explore the latest carousel on Myntra! Trendy styles await."/>
    <n v="2704"/>
    <n v="752"/>
    <n v="153"/>
    <n v="21632"/>
    <n v="20792"/>
    <n v="127"/>
    <x v="1"/>
    <s v="FashionUpgrade"/>
    <n v="16.68"/>
  </r>
  <r>
    <x v="47"/>
    <x v="0"/>
    <d v="2025-03-11T00:00:00"/>
    <x v="2"/>
    <s v="Explore the latest story on Myntra! Trendy styles await."/>
    <n v="1950"/>
    <n v="295"/>
    <n v="478"/>
    <n v="37050"/>
    <n v="36272"/>
    <n v="119"/>
    <x v="1"/>
    <s v="StyleRevolution"/>
    <n v="7.35"/>
  </r>
  <r>
    <x v="47"/>
    <x v="0"/>
    <d v="2025-03-11T00:00:00"/>
    <x v="2"/>
    <s v="Explore the latest story on Myntra! Trendy styles await."/>
    <n v="1950"/>
    <n v="295"/>
    <n v="478"/>
    <n v="37050"/>
    <n v="36272"/>
    <n v="119"/>
    <x v="2"/>
    <s v="StyleRevolution"/>
    <n v="7.35"/>
  </r>
  <r>
    <x v="48"/>
    <x v="0"/>
    <d v="2024-06-10T00:00:00"/>
    <x v="2"/>
    <s v="Explore the latest story on Myntra! Trendy styles await."/>
    <n v="2164"/>
    <n v="549"/>
    <n v="274"/>
    <n v="28132"/>
    <n v="27361"/>
    <n v="177"/>
    <x v="2"/>
    <s v="FashionUpgrade"/>
    <n v="10.62"/>
  </r>
  <r>
    <x v="49"/>
    <x v="1"/>
    <d v="2024-07-03T00:00:00"/>
    <x v="2"/>
    <s v="Explore the latest story on Myntra! Trendy styles await."/>
    <n v="2754"/>
    <n v="130"/>
    <n v="90"/>
    <n v="22032"/>
    <n v="21288"/>
    <n v="112"/>
    <x v="1"/>
    <s v="FashionUpgrade"/>
    <n v="13.5"/>
  </r>
  <r>
    <x v="50"/>
    <x v="3"/>
    <d v="2024-06-13T00:00:00"/>
    <x v="3"/>
    <s v="Explore the latest carousel on Myntra! Trendy styles await."/>
    <n v="2200"/>
    <n v="504"/>
    <n v="239"/>
    <n v="37400"/>
    <n v="36938"/>
    <n v="225"/>
    <x v="0"/>
    <s v="MyntraFestiveEdit"/>
    <n v="7.87"/>
  </r>
  <r>
    <x v="51"/>
    <x v="3"/>
    <d v="2025-01-03T00:00:00"/>
    <x v="4"/>
    <s v="Explore the latest image on Myntra! Trendy styles await."/>
    <n v="947"/>
    <n v="338"/>
    <n v="350"/>
    <n v="10417"/>
    <n v="9730"/>
    <n v="34"/>
    <x v="1"/>
    <s v="MyntraFestiveEdit"/>
    <n v="15.7"/>
  </r>
  <r>
    <x v="51"/>
    <x v="3"/>
    <d v="2025-01-03T00:00:00"/>
    <x v="4"/>
    <s v="Explore the latest image on Myntra! Trendy styles await."/>
    <n v="947"/>
    <n v="338"/>
    <n v="350"/>
    <n v="10417"/>
    <n v="9730"/>
    <n v="34"/>
    <x v="0"/>
    <s v="MyntraFestiveEdit"/>
    <n v="15.7"/>
  </r>
  <r>
    <x v="52"/>
    <x v="1"/>
    <d v="2025-02-24T00:00:00"/>
    <x v="3"/>
    <s v="Explore the latest carousel on Myntra! Trendy styles await."/>
    <n v="804"/>
    <n v="639"/>
    <n v="43"/>
    <n v="4020"/>
    <n v="3144"/>
    <n v="11"/>
    <x v="2"/>
    <s v="StyleRevolution"/>
    <n v="36.97"/>
  </r>
  <r>
    <x v="52"/>
    <x v="1"/>
    <d v="2025-02-24T00:00:00"/>
    <x v="3"/>
    <s v="Explore the latest carousel on Myntra! Trendy styles await."/>
    <n v="804"/>
    <n v="639"/>
    <n v="43"/>
    <n v="4020"/>
    <n v="3144"/>
    <n v="11"/>
    <x v="3"/>
    <s v="StyleRevolution"/>
    <n v="36.97"/>
  </r>
  <r>
    <x v="53"/>
    <x v="1"/>
    <d v="2025-03-13T00:00:00"/>
    <x v="3"/>
    <s v="Explore the latest carousel on Myntra! Trendy styles await."/>
    <n v="1686"/>
    <n v="904"/>
    <n v="472"/>
    <n v="18546"/>
    <n v="18171"/>
    <n v="52"/>
    <x v="1"/>
    <s v="EndOfSeasonSale"/>
    <n v="16.510000000000002"/>
  </r>
  <r>
    <x v="53"/>
    <x v="1"/>
    <d v="2025-03-13T00:00:00"/>
    <x v="3"/>
    <s v="Explore the latest carousel on Myntra! Trendy styles await."/>
    <n v="1686"/>
    <n v="904"/>
    <n v="472"/>
    <n v="18546"/>
    <n v="18171"/>
    <n v="52"/>
    <x v="4"/>
    <s v="EndOfSeasonSale"/>
    <n v="16.510000000000002"/>
  </r>
  <r>
    <x v="54"/>
    <x v="3"/>
    <d v="2024-06-17T00:00:00"/>
    <x v="4"/>
    <s v="Explore the latest image on Myntra! Trendy styles await."/>
    <n v="1226"/>
    <n v="119"/>
    <n v="7"/>
    <n v="14712"/>
    <n v="14049"/>
    <n v="123"/>
    <x v="0"/>
    <s v="StyleRevolution"/>
    <n v="9.19"/>
  </r>
  <r>
    <x v="54"/>
    <x v="3"/>
    <d v="2024-06-17T00:00:00"/>
    <x v="4"/>
    <s v="Explore the latest image on Myntra! Trendy styles await."/>
    <n v="1226"/>
    <n v="119"/>
    <n v="7"/>
    <n v="14712"/>
    <n v="14049"/>
    <n v="123"/>
    <x v="3"/>
    <s v="StyleRevolution"/>
    <n v="9.19"/>
  </r>
  <r>
    <x v="55"/>
    <x v="3"/>
    <d v="2024-12-18T00:00:00"/>
    <x v="3"/>
    <s v="Explore the latest carousel on Myntra! Trendy styles await."/>
    <n v="2946"/>
    <n v="498"/>
    <n v="367"/>
    <n v="29460"/>
    <n v="28527"/>
    <n v="60"/>
    <x v="2"/>
    <s v="EndOfSeasonSale"/>
    <n v="12.94"/>
  </r>
  <r>
    <x v="55"/>
    <x v="3"/>
    <d v="2024-12-18T00:00:00"/>
    <x v="3"/>
    <s v="Explore the latest carousel on Myntra! Trendy styles await."/>
    <n v="2946"/>
    <n v="498"/>
    <n v="367"/>
    <n v="29460"/>
    <n v="28527"/>
    <n v="60"/>
    <x v="4"/>
    <s v="EndOfSeasonSale"/>
    <n v="12.94"/>
  </r>
  <r>
    <x v="56"/>
    <x v="0"/>
    <d v="2024-10-21T00:00:00"/>
    <x v="5"/>
    <s v="Explore the latest video on Myntra! Trendy styles await."/>
    <n v="2825"/>
    <n v="535"/>
    <n v="295"/>
    <n v="45200"/>
    <n v="44739"/>
    <n v="169"/>
    <x v="2"/>
    <s v="EndOfSeasonSale"/>
    <n v="8.09"/>
  </r>
  <r>
    <x v="57"/>
    <x v="2"/>
    <d v="2025-04-15T00:00:00"/>
    <x v="0"/>
    <s v="Explore the latest reel on Myntra! Trendy styles await."/>
    <n v="103"/>
    <n v="770"/>
    <n v="19"/>
    <n v="1030"/>
    <n v="410"/>
    <n v="262"/>
    <x v="0"/>
    <s v="MyntraFestiveEdit"/>
    <n v="86.6"/>
  </r>
  <r>
    <x v="58"/>
    <x v="2"/>
    <d v="2024-06-22T00:00:00"/>
    <x v="1"/>
    <s v="Explore the latest text on Myntra! Trendy styles await."/>
    <n v="2180"/>
    <n v="263"/>
    <n v="387"/>
    <n v="30520"/>
    <n v="30059"/>
    <n v="174"/>
    <x v="4"/>
    <s v="FashionUpgrade"/>
    <n v="9.27"/>
  </r>
  <r>
    <x v="59"/>
    <x v="2"/>
    <d v="2025-01-28T00:00:00"/>
    <x v="5"/>
    <s v="Explore the latest video on Myntra! Trendy styles await."/>
    <n v="904"/>
    <n v="973"/>
    <n v="63"/>
    <n v="11752"/>
    <n v="11580"/>
    <n v="84"/>
    <x v="2"/>
    <s v="FashionUpgrade"/>
    <n v="16.510000000000002"/>
  </r>
  <r>
    <x v="60"/>
    <x v="0"/>
    <d v="2024-09-05T00:00:00"/>
    <x v="5"/>
    <s v="Explore the latest video on Myntra! Trendy styles await."/>
    <n v="4886"/>
    <n v="983"/>
    <n v="409"/>
    <n v="43974"/>
    <n v="43239"/>
    <n v="65"/>
    <x v="1"/>
    <s v="FashionUpgrade"/>
    <n v="14.28"/>
  </r>
  <r>
    <x v="61"/>
    <x v="0"/>
    <d v="2024-11-22T00:00:00"/>
    <x v="3"/>
    <s v="Explore the latest carousel on Myntra! Trendy styles await."/>
    <n v="53"/>
    <n v="81"/>
    <n v="379"/>
    <n v="954"/>
    <n v="7"/>
    <n v="148"/>
    <x v="4"/>
    <s v="MyntraFestiveEdit"/>
    <n v="53.77"/>
  </r>
  <r>
    <x v="62"/>
    <x v="0"/>
    <d v="2024-07-31T00:00:00"/>
    <x v="3"/>
    <s v="Explore the latest carousel on Myntra! Trendy styles await."/>
    <n v="4507"/>
    <n v="217"/>
    <n v="13"/>
    <n v="90140"/>
    <n v="89591"/>
    <n v="125"/>
    <x v="0"/>
    <s v="FashionUpgrade"/>
    <n v="5.26"/>
  </r>
  <r>
    <x v="63"/>
    <x v="3"/>
    <d v="2024-08-17T00:00:00"/>
    <x v="4"/>
    <s v="Explore the latest image on Myntra! Trendy styles await."/>
    <n v="2878"/>
    <n v="248"/>
    <n v="416"/>
    <n v="43170"/>
    <n v="42667"/>
    <n v="75"/>
    <x v="4"/>
    <s v="EndOfSeasonSale"/>
    <n v="8.1999999999999993"/>
  </r>
  <r>
    <x v="63"/>
    <x v="3"/>
    <d v="2024-08-17T00:00:00"/>
    <x v="4"/>
    <s v="Explore the latest image on Myntra! Trendy styles await."/>
    <n v="2878"/>
    <n v="248"/>
    <n v="416"/>
    <n v="43170"/>
    <n v="42667"/>
    <n v="75"/>
    <x v="3"/>
    <s v="EndOfSeasonSale"/>
    <n v="8.1999999999999993"/>
  </r>
  <r>
    <x v="64"/>
    <x v="2"/>
    <d v="2025-03-28T00:00:00"/>
    <x v="2"/>
    <s v="Explore the latest story on Myntra! Trendy styles await."/>
    <n v="1881"/>
    <n v="501"/>
    <n v="99"/>
    <n v="20691"/>
    <n v="19987"/>
    <n v="289"/>
    <x v="4"/>
    <s v="EndOfSeasonSale"/>
    <n v="11.99"/>
  </r>
  <r>
    <x v="65"/>
    <x v="0"/>
    <d v="2024-07-26T00:00:00"/>
    <x v="3"/>
    <s v="Explore the latest carousel on Myntra! Trendy styles await."/>
    <n v="432"/>
    <n v="171"/>
    <n v="280"/>
    <n v="3024"/>
    <n v="2285"/>
    <n v="184"/>
    <x v="1"/>
    <s v="MyntraFestiveEdit"/>
    <n v="29.2"/>
  </r>
  <r>
    <x v="66"/>
    <x v="3"/>
    <d v="2025-03-29T00:00:00"/>
    <x v="3"/>
    <s v="Explore the latest carousel on Myntra! Trendy styles await."/>
    <n v="4712"/>
    <n v="568"/>
    <n v="127"/>
    <n v="84816"/>
    <n v="84691"/>
    <n v="100"/>
    <x v="4"/>
    <s v="FashionUpgrade"/>
    <n v="6.37"/>
  </r>
  <r>
    <x v="67"/>
    <x v="2"/>
    <d v="2024-12-08T00:00:00"/>
    <x v="2"/>
    <s v="Explore the latest story on Myntra! Trendy styles await."/>
    <n v="2610"/>
    <n v="126"/>
    <n v="288"/>
    <n v="15660"/>
    <n v="15145"/>
    <n v="73"/>
    <x v="1"/>
    <s v="FashionUpgrade"/>
    <n v="19.309999999999999"/>
  </r>
  <r>
    <x v="68"/>
    <x v="0"/>
    <d v="2025-03-08T00:00:00"/>
    <x v="1"/>
    <s v="Explore the latest text on Myntra! Trendy styles await."/>
    <n v="1292"/>
    <n v="626"/>
    <n v="496"/>
    <n v="25840"/>
    <n v="24916"/>
    <n v="149"/>
    <x v="2"/>
    <s v="StyleRevolution"/>
    <n v="9.34"/>
  </r>
  <r>
    <x v="68"/>
    <x v="0"/>
    <d v="2025-03-08T00:00:00"/>
    <x v="1"/>
    <s v="Explore the latest text on Myntra! Trendy styles await."/>
    <n v="1292"/>
    <n v="626"/>
    <n v="496"/>
    <n v="25840"/>
    <n v="24916"/>
    <n v="149"/>
    <x v="3"/>
    <s v="StyleRevolution"/>
    <n v="9.34"/>
  </r>
  <r>
    <x v="69"/>
    <x v="3"/>
    <d v="2025-04-02T00:00:00"/>
    <x v="5"/>
    <s v="Explore the latest video on Myntra! Trendy styles await."/>
    <n v="199"/>
    <n v="772"/>
    <n v="400"/>
    <n v="3582"/>
    <n v="2988"/>
    <n v="43"/>
    <x v="3"/>
    <s v="FashionUpgrade"/>
    <n v="38.270000000000003"/>
  </r>
  <r>
    <x v="70"/>
    <x v="1"/>
    <d v="2024-09-02T00:00:00"/>
    <x v="3"/>
    <s v="Explore the latest carousel on Myntra! Trendy styles await."/>
    <n v="2551"/>
    <n v="915"/>
    <n v="205"/>
    <n v="30612"/>
    <n v="30360"/>
    <n v="227"/>
    <x v="0"/>
    <s v="EndOfSeasonSale"/>
    <n v="11.99"/>
  </r>
  <r>
    <x v="70"/>
    <x v="1"/>
    <d v="2024-09-02T00:00:00"/>
    <x v="3"/>
    <s v="Explore the latest carousel on Myntra! Trendy styles await."/>
    <n v="2551"/>
    <n v="915"/>
    <n v="205"/>
    <n v="30612"/>
    <n v="30360"/>
    <n v="227"/>
    <x v="4"/>
    <s v="EndOfSeasonSale"/>
    <n v="11.99"/>
  </r>
  <r>
    <x v="71"/>
    <x v="1"/>
    <d v="2025-03-03T00:00:00"/>
    <x v="0"/>
    <s v="Explore the latest reel on Myntra! Trendy styles await."/>
    <n v="296"/>
    <n v="60"/>
    <n v="141"/>
    <n v="5624"/>
    <n v="5239"/>
    <n v="88"/>
    <x v="3"/>
    <s v="StyleRevolution"/>
    <n v="8.84"/>
  </r>
  <r>
    <x v="72"/>
    <x v="3"/>
    <d v="2024-10-18T00:00:00"/>
    <x v="2"/>
    <s v="Explore the latest story on Myntra! Trendy styles await."/>
    <n v="4126"/>
    <n v="426"/>
    <n v="486"/>
    <n v="78394"/>
    <n v="77798"/>
    <n v="88"/>
    <x v="1"/>
    <s v="FashionUpgrade"/>
    <n v="6.43"/>
  </r>
  <r>
    <x v="73"/>
    <x v="1"/>
    <d v="2024-10-28T00:00:00"/>
    <x v="0"/>
    <s v="Explore the latest reel on Myntra! Trendy styles await."/>
    <n v="1855"/>
    <n v="200"/>
    <n v="174"/>
    <n v="16695"/>
    <n v="16330"/>
    <n v="123"/>
    <x v="1"/>
    <s v="MyntraFestiveEdit"/>
    <n v="13.35"/>
  </r>
  <r>
    <x v="74"/>
    <x v="2"/>
    <d v="2024-08-01T00:00:00"/>
    <x v="0"/>
    <s v="Explore the latest reel on Myntra! Trendy styles await."/>
    <n v="1674"/>
    <n v="929"/>
    <n v="37"/>
    <n v="21762"/>
    <n v="20998"/>
    <n v="255"/>
    <x v="2"/>
    <s v="MyntraFestiveEdit"/>
    <n v="12.13"/>
  </r>
  <r>
    <x v="74"/>
    <x v="2"/>
    <d v="2024-08-01T00:00:00"/>
    <x v="0"/>
    <s v="Explore the latest reel on Myntra! Trendy styles await."/>
    <n v="1674"/>
    <n v="929"/>
    <n v="37"/>
    <n v="21762"/>
    <n v="20998"/>
    <n v="255"/>
    <x v="4"/>
    <s v="MyntraFestiveEdit"/>
    <n v="12.13"/>
  </r>
  <r>
    <x v="75"/>
    <x v="0"/>
    <d v="2024-11-07T00:00:00"/>
    <x v="2"/>
    <s v="Explore the latest story on Myntra! Trendy styles await."/>
    <n v="1121"/>
    <n v="135"/>
    <n v="18"/>
    <n v="15694"/>
    <n v="14957"/>
    <n v="99"/>
    <x v="0"/>
    <s v="StyleRevolution"/>
    <n v="8.1199999999999992"/>
  </r>
  <r>
    <x v="75"/>
    <x v="0"/>
    <d v="2024-11-07T00:00:00"/>
    <x v="2"/>
    <s v="Explore the latest story on Myntra! Trendy styles await."/>
    <n v="1121"/>
    <n v="135"/>
    <n v="18"/>
    <n v="15694"/>
    <n v="14957"/>
    <n v="99"/>
    <x v="1"/>
    <s v="StyleRevolution"/>
    <n v="8.1199999999999992"/>
  </r>
  <r>
    <x v="76"/>
    <x v="3"/>
    <d v="2025-03-04T00:00:00"/>
    <x v="2"/>
    <s v="Explore the latest story on Myntra! Trendy styles await."/>
    <n v="1249"/>
    <n v="116"/>
    <n v="420"/>
    <n v="8743"/>
    <n v="8538"/>
    <n v="63"/>
    <x v="1"/>
    <s v="MyntraFestiveEdit"/>
    <n v="20.420000000000002"/>
  </r>
  <r>
    <x v="76"/>
    <x v="3"/>
    <d v="2025-03-04T00:00:00"/>
    <x v="2"/>
    <s v="Explore the latest story on Myntra! Trendy styles await."/>
    <n v="1249"/>
    <n v="116"/>
    <n v="420"/>
    <n v="8743"/>
    <n v="8538"/>
    <n v="63"/>
    <x v="4"/>
    <s v="MyntraFestiveEdit"/>
    <n v="20.420000000000002"/>
  </r>
  <r>
    <x v="77"/>
    <x v="0"/>
    <d v="2024-06-17T00:00:00"/>
    <x v="4"/>
    <s v="Explore the latest image on Myntra! Trendy styles await."/>
    <n v="954"/>
    <n v="324"/>
    <n v="288"/>
    <n v="19080"/>
    <n v="18859"/>
    <n v="21"/>
    <x v="3"/>
    <s v="MyntraFestiveEdit"/>
    <n v="8.2100000000000009"/>
  </r>
  <r>
    <x v="78"/>
    <x v="2"/>
    <d v="2024-10-09T00:00:00"/>
    <x v="3"/>
    <s v="Explore the latest carousel on Myntra! Trendy styles await."/>
    <n v="3068"/>
    <n v="137"/>
    <n v="329"/>
    <n v="39884"/>
    <n v="39404"/>
    <n v="266"/>
    <x v="0"/>
    <s v="MyntraFestiveEdit"/>
    <n v="8.86"/>
  </r>
  <r>
    <x v="78"/>
    <x v="2"/>
    <d v="2024-10-09T00:00:00"/>
    <x v="3"/>
    <s v="Explore the latest carousel on Myntra! Trendy styles await."/>
    <n v="3068"/>
    <n v="137"/>
    <n v="329"/>
    <n v="39884"/>
    <n v="39404"/>
    <n v="266"/>
    <x v="3"/>
    <s v="MyntraFestiveEdit"/>
    <n v="8.86"/>
  </r>
  <r>
    <x v="79"/>
    <x v="2"/>
    <d v="2024-06-13T00:00:00"/>
    <x v="2"/>
    <s v="Explore the latest story on Myntra! Trendy styles await."/>
    <n v="2103"/>
    <n v="892"/>
    <n v="103"/>
    <n v="39957"/>
    <n v="39466"/>
    <n v="28"/>
    <x v="4"/>
    <s v="EndOfSeasonSale"/>
    <n v="7.75"/>
  </r>
  <r>
    <x v="79"/>
    <x v="2"/>
    <d v="2024-06-13T00:00:00"/>
    <x v="2"/>
    <s v="Explore the latest story on Myntra! Trendy styles await."/>
    <n v="2103"/>
    <n v="892"/>
    <n v="103"/>
    <n v="39957"/>
    <n v="39466"/>
    <n v="28"/>
    <x v="1"/>
    <s v="EndOfSeasonSale"/>
    <n v="7.75"/>
  </r>
  <r>
    <x v="80"/>
    <x v="2"/>
    <d v="2024-10-19T00:00:00"/>
    <x v="2"/>
    <s v="Explore the latest story on Myntra! Trendy styles await."/>
    <n v="1816"/>
    <n v="29"/>
    <n v="41"/>
    <n v="19976"/>
    <n v="19262"/>
    <n v="283"/>
    <x v="3"/>
    <s v="MyntraFestiveEdit"/>
    <n v="9.44"/>
  </r>
  <r>
    <x v="80"/>
    <x v="2"/>
    <d v="2024-10-19T00:00:00"/>
    <x v="2"/>
    <s v="Explore the latest story on Myntra! Trendy styles await."/>
    <n v="1816"/>
    <n v="29"/>
    <n v="41"/>
    <n v="19976"/>
    <n v="19262"/>
    <n v="283"/>
    <x v="0"/>
    <s v="MyntraFestiveEdit"/>
    <n v="9.44"/>
  </r>
  <r>
    <x v="81"/>
    <x v="2"/>
    <d v="2024-07-24T00:00:00"/>
    <x v="4"/>
    <s v="Explore the latest image on Myntra! Trendy styles await."/>
    <n v="725"/>
    <n v="88"/>
    <n v="428"/>
    <n v="14500"/>
    <n v="13637"/>
    <n v="200"/>
    <x v="3"/>
    <s v="MyntraFestiveEdit"/>
    <n v="8.56"/>
  </r>
  <r>
    <x v="82"/>
    <x v="1"/>
    <d v="2024-10-15T00:00:00"/>
    <x v="5"/>
    <s v="Explore the latest video on Myntra! Trendy styles await."/>
    <n v="1094"/>
    <n v="472"/>
    <n v="21"/>
    <n v="9846"/>
    <n v="9609"/>
    <n v="112"/>
    <x v="3"/>
    <s v="MyntraFestiveEdit"/>
    <n v="16.12"/>
  </r>
  <r>
    <x v="82"/>
    <x v="1"/>
    <d v="2024-10-15T00:00:00"/>
    <x v="5"/>
    <s v="Explore the latest video on Myntra! Trendy styles await."/>
    <n v="1094"/>
    <n v="472"/>
    <n v="21"/>
    <n v="9846"/>
    <n v="9609"/>
    <n v="112"/>
    <x v="2"/>
    <s v="MyntraFestiveEdit"/>
    <n v="16.12"/>
  </r>
  <r>
    <x v="83"/>
    <x v="3"/>
    <d v="2024-12-09T00:00:00"/>
    <x v="4"/>
    <s v="Explore the latest image on Myntra! Trendy styles await."/>
    <n v="1841"/>
    <n v="851"/>
    <n v="342"/>
    <n v="34979"/>
    <n v="34154"/>
    <n v="255"/>
    <x v="1"/>
    <s v="FashionUpgrade"/>
    <n v="8.67"/>
  </r>
  <r>
    <x v="83"/>
    <x v="3"/>
    <d v="2024-12-09T00:00:00"/>
    <x v="4"/>
    <s v="Explore the latest image on Myntra! Trendy styles await."/>
    <n v="1841"/>
    <n v="851"/>
    <n v="342"/>
    <n v="34979"/>
    <n v="34154"/>
    <n v="255"/>
    <x v="4"/>
    <s v="FashionUpgrade"/>
    <n v="8.67"/>
  </r>
  <r>
    <x v="84"/>
    <x v="2"/>
    <d v="2025-04-19T00:00:00"/>
    <x v="4"/>
    <s v="Explore the latest image on Myntra! Trendy styles await."/>
    <n v="4177"/>
    <n v="569"/>
    <n v="55"/>
    <n v="25062"/>
    <n v="24847"/>
    <n v="230"/>
    <x v="1"/>
    <s v="FashionUpgrade"/>
    <n v="19.16"/>
  </r>
  <r>
    <x v="85"/>
    <x v="1"/>
    <d v="2025-01-27T00:00:00"/>
    <x v="1"/>
    <s v="Explore the latest text on Myntra! Trendy styles await."/>
    <n v="3428"/>
    <n v="305"/>
    <n v="85"/>
    <n v="58276"/>
    <n v="58052"/>
    <n v="242"/>
    <x v="3"/>
    <s v="MyntraFestiveEdit"/>
    <n v="6.55"/>
  </r>
  <r>
    <x v="85"/>
    <x v="1"/>
    <d v="2025-01-27T00:00:00"/>
    <x v="1"/>
    <s v="Explore the latest text on Myntra! Trendy styles await."/>
    <n v="3428"/>
    <n v="305"/>
    <n v="85"/>
    <n v="58276"/>
    <n v="58052"/>
    <n v="242"/>
    <x v="2"/>
    <s v="MyntraFestiveEdit"/>
    <n v="6.55"/>
  </r>
  <r>
    <x v="86"/>
    <x v="0"/>
    <d v="2024-06-06T00:00:00"/>
    <x v="5"/>
    <s v="Explore the latest video on Myntra! Trendy styles await."/>
    <n v="1436"/>
    <n v="765"/>
    <n v="496"/>
    <n v="12924"/>
    <n v="12701"/>
    <n v="197"/>
    <x v="3"/>
    <s v="EndOfSeasonSale"/>
    <n v="20.87"/>
  </r>
  <r>
    <x v="86"/>
    <x v="0"/>
    <d v="2024-06-06T00:00:00"/>
    <x v="5"/>
    <s v="Explore the latest video on Myntra! Trendy styles await."/>
    <n v="1436"/>
    <n v="765"/>
    <n v="496"/>
    <n v="12924"/>
    <n v="12701"/>
    <n v="197"/>
    <x v="0"/>
    <s v="EndOfSeasonSale"/>
    <n v="20.87"/>
  </r>
  <r>
    <x v="87"/>
    <x v="3"/>
    <d v="2024-07-07T00:00:00"/>
    <x v="2"/>
    <s v="Explore the latest story on Myntra! Trendy styles await."/>
    <n v="302"/>
    <n v="47"/>
    <n v="430"/>
    <n v="5738"/>
    <n v="4890"/>
    <n v="25"/>
    <x v="1"/>
    <s v="EndOfSeasonSale"/>
    <n v="13.58"/>
  </r>
  <r>
    <x v="87"/>
    <x v="3"/>
    <d v="2024-07-07T00:00:00"/>
    <x v="2"/>
    <s v="Explore the latest story on Myntra! Trendy styles await."/>
    <n v="302"/>
    <n v="47"/>
    <n v="430"/>
    <n v="5738"/>
    <n v="4890"/>
    <n v="25"/>
    <x v="0"/>
    <s v="EndOfSeasonSale"/>
    <n v="13.58"/>
  </r>
  <r>
    <x v="88"/>
    <x v="0"/>
    <d v="2025-01-10T00:00:00"/>
    <x v="4"/>
    <s v="Explore the latest image on Myntra! Trendy styles await."/>
    <n v="2214"/>
    <n v="249"/>
    <n v="152"/>
    <n v="15498"/>
    <n v="14800"/>
    <n v="180"/>
    <x v="0"/>
    <s v="EndOfSeasonSale"/>
    <n v="16.87"/>
  </r>
  <r>
    <x v="89"/>
    <x v="2"/>
    <d v="2024-06-03T00:00:00"/>
    <x v="4"/>
    <s v="Explore the latest image on Myntra! Trendy styles await."/>
    <n v="3861"/>
    <n v="960"/>
    <n v="101"/>
    <n v="69498"/>
    <n v="68817"/>
    <n v="297"/>
    <x v="1"/>
    <s v="EndOfSeasonSale"/>
    <n v="7.08"/>
  </r>
  <r>
    <x v="90"/>
    <x v="3"/>
    <d v="2025-03-24T00:00:00"/>
    <x v="4"/>
    <s v="Explore the latest image on Myntra! Trendy styles await."/>
    <n v="1263"/>
    <n v="397"/>
    <n v="357"/>
    <n v="25260"/>
    <n v="24615"/>
    <n v="137"/>
    <x v="0"/>
    <s v="EndOfSeasonSale"/>
    <n v="7.98"/>
  </r>
  <r>
    <x v="91"/>
    <x v="0"/>
    <d v="2024-10-21T00:00:00"/>
    <x v="2"/>
    <s v="Explore the latest story on Myntra! Trendy styles await."/>
    <n v="3801"/>
    <n v="967"/>
    <n v="401"/>
    <n v="38010"/>
    <n v="37625"/>
    <n v="236"/>
    <x v="2"/>
    <s v="StyleRevolution"/>
    <n v="13.6"/>
  </r>
  <r>
    <x v="92"/>
    <x v="2"/>
    <d v="2024-12-11T00:00:00"/>
    <x v="5"/>
    <s v="Explore the latest video on Myntra! Trendy styles await."/>
    <n v="1431"/>
    <n v="951"/>
    <n v="26"/>
    <n v="8586"/>
    <n v="8396"/>
    <n v="150"/>
    <x v="3"/>
    <s v="FashionUpgrade"/>
    <n v="28.05"/>
  </r>
  <r>
    <x v="92"/>
    <x v="2"/>
    <d v="2024-12-11T00:00:00"/>
    <x v="5"/>
    <s v="Explore the latest video on Myntra! Trendy styles await."/>
    <n v="1431"/>
    <n v="951"/>
    <n v="26"/>
    <n v="8586"/>
    <n v="8396"/>
    <n v="150"/>
    <x v="4"/>
    <s v="FashionUpgrade"/>
    <n v="28.05"/>
  </r>
  <r>
    <x v="93"/>
    <x v="2"/>
    <d v="2024-11-07T00:00:00"/>
    <x v="4"/>
    <s v="Explore the latest image on Myntra! Trendy styles await."/>
    <n v="2647"/>
    <n v="304"/>
    <n v="170"/>
    <n v="18529"/>
    <n v="17841"/>
    <n v="46"/>
    <x v="2"/>
    <s v="EndOfSeasonSale"/>
    <n v="16.84"/>
  </r>
  <r>
    <x v="94"/>
    <x v="2"/>
    <d v="2024-11-08T00:00:00"/>
    <x v="1"/>
    <s v="Explore the latest text on Myntra! Trendy styles await."/>
    <n v="3182"/>
    <n v="559"/>
    <n v="160"/>
    <n v="57276"/>
    <n v="56890"/>
    <n v="163"/>
    <x v="2"/>
    <s v="EndOfSeasonSale"/>
    <n v="6.81"/>
  </r>
  <r>
    <x v="94"/>
    <x v="2"/>
    <d v="2024-11-08T00:00:00"/>
    <x v="1"/>
    <s v="Explore the latest text on Myntra! Trendy styles await."/>
    <n v="3182"/>
    <n v="559"/>
    <n v="160"/>
    <n v="57276"/>
    <n v="56890"/>
    <n v="163"/>
    <x v="3"/>
    <s v="EndOfSeasonSale"/>
    <n v="6.81"/>
  </r>
  <r>
    <x v="95"/>
    <x v="0"/>
    <d v="2024-09-10T00:00:00"/>
    <x v="4"/>
    <s v="Explore the latest image on Myntra! Trendy styles await."/>
    <n v="1238"/>
    <n v="366"/>
    <n v="444"/>
    <n v="19808"/>
    <n v="19334"/>
    <n v="123"/>
    <x v="4"/>
    <s v="MyntraFestiveEdit"/>
    <n v="10.34"/>
  </r>
  <r>
    <x v="96"/>
    <x v="2"/>
    <d v="2024-08-13T00:00:00"/>
    <x v="4"/>
    <s v="Explore the latest image on Myntra! Trendy styles await."/>
    <n v="4739"/>
    <n v="527"/>
    <n v="135"/>
    <n v="61607"/>
    <n v="61333"/>
    <n v="36"/>
    <x v="2"/>
    <s v="EndOfSeasonSale"/>
    <n v="8.77"/>
  </r>
  <r>
    <x v="96"/>
    <x v="2"/>
    <d v="2024-08-13T00:00:00"/>
    <x v="4"/>
    <s v="Explore the latest image on Myntra! Trendy styles await."/>
    <n v="4739"/>
    <n v="527"/>
    <n v="135"/>
    <n v="61607"/>
    <n v="61333"/>
    <n v="36"/>
    <x v="0"/>
    <s v="EndOfSeasonSale"/>
    <n v="8.77"/>
  </r>
  <r>
    <x v="97"/>
    <x v="0"/>
    <d v="2024-06-10T00:00:00"/>
    <x v="2"/>
    <s v="Explore the latest story on Myntra! Trendy styles await."/>
    <n v="1575"/>
    <n v="771"/>
    <n v="486"/>
    <n v="25200"/>
    <n v="24826"/>
    <n v="17"/>
    <x v="2"/>
    <s v="MyntraFestiveEdit"/>
    <n v="11.24"/>
  </r>
  <r>
    <x v="98"/>
    <x v="1"/>
    <d v="2024-07-02T00:00:00"/>
    <x v="3"/>
    <s v="Explore the latest carousel on Myntra! Trendy styles await."/>
    <n v="4171"/>
    <n v="548"/>
    <n v="86"/>
    <n v="66736"/>
    <n v="66634"/>
    <n v="173"/>
    <x v="2"/>
    <s v="MyntraFestiveEdit"/>
    <n v="7.2"/>
  </r>
  <r>
    <x v="99"/>
    <x v="1"/>
    <d v="2025-02-10T00:00:00"/>
    <x v="5"/>
    <s v="Explore the latest video on Myntra! Trendy styles await."/>
    <n v="1766"/>
    <n v="92"/>
    <n v="424"/>
    <n v="24724"/>
    <n v="24333"/>
    <n v="52"/>
    <x v="2"/>
    <s v="FashionUpgrade"/>
    <n v="9.23"/>
  </r>
  <r>
    <x v="100"/>
    <x v="1"/>
    <d v="2024-10-18T00:00:00"/>
    <x v="5"/>
    <s v="Explore the latest video on Myntra! Trendy styles await."/>
    <n v="4450"/>
    <n v="983"/>
    <n v="143"/>
    <n v="75650"/>
    <n v="75008"/>
    <n v="12"/>
    <x v="0"/>
    <s v="EndOfSeasonSale"/>
    <n v="7.37"/>
  </r>
  <r>
    <x v="100"/>
    <x v="1"/>
    <d v="2024-10-18T00:00:00"/>
    <x v="5"/>
    <s v="Explore the latest video on Myntra! Trendy styles await."/>
    <n v="4450"/>
    <n v="983"/>
    <n v="143"/>
    <n v="75650"/>
    <n v="75008"/>
    <n v="12"/>
    <x v="2"/>
    <s v="EndOfSeasonSale"/>
    <n v="7.37"/>
  </r>
  <r>
    <x v="101"/>
    <x v="0"/>
    <d v="2024-09-18T00:00:00"/>
    <x v="0"/>
    <s v="Explore the latest reel on Myntra! Trendy styles await."/>
    <n v="1000"/>
    <n v="978"/>
    <n v="162"/>
    <n v="6000"/>
    <n v="5221"/>
    <n v="223"/>
    <x v="3"/>
    <s v="MyntraFestiveEdit"/>
    <n v="35.67"/>
  </r>
  <r>
    <x v="101"/>
    <x v="0"/>
    <d v="2024-09-18T00:00:00"/>
    <x v="0"/>
    <s v="Explore the latest reel on Myntra! Trendy styles await."/>
    <n v="1000"/>
    <n v="978"/>
    <n v="162"/>
    <n v="6000"/>
    <n v="5221"/>
    <n v="223"/>
    <x v="1"/>
    <s v="MyntraFestiveEdit"/>
    <n v="35.67"/>
  </r>
  <r>
    <x v="102"/>
    <x v="3"/>
    <d v="2024-06-11T00:00:00"/>
    <x v="4"/>
    <s v="Explore the latest image on Myntra! Trendy styles await."/>
    <n v="3689"/>
    <n v="48"/>
    <n v="306"/>
    <n v="40579"/>
    <n v="39588"/>
    <n v="212"/>
    <x v="3"/>
    <s v="FashionUpgrade"/>
    <n v="9.9600000000000009"/>
  </r>
  <r>
    <x v="103"/>
    <x v="1"/>
    <d v="2025-03-23T00:00:00"/>
    <x v="2"/>
    <s v="Explore the latest story on Myntra! Trendy styles await."/>
    <n v="3655"/>
    <n v="568"/>
    <n v="286"/>
    <n v="32895"/>
    <n v="32015"/>
    <n v="199"/>
    <x v="3"/>
    <s v="StyleRevolution"/>
    <n v="13.71"/>
  </r>
  <r>
    <x v="104"/>
    <x v="2"/>
    <d v="2024-06-14T00:00:00"/>
    <x v="3"/>
    <s v="Explore the latest carousel on Myntra! Trendy styles await."/>
    <n v="498"/>
    <n v="38"/>
    <n v="42"/>
    <n v="4482"/>
    <n v="3647"/>
    <n v="32"/>
    <x v="2"/>
    <s v="StyleRevolution"/>
    <n v="12.9"/>
  </r>
  <r>
    <x v="104"/>
    <x v="2"/>
    <d v="2024-06-14T00:00:00"/>
    <x v="3"/>
    <s v="Explore the latest carousel on Myntra! Trendy styles await."/>
    <n v="498"/>
    <n v="38"/>
    <n v="42"/>
    <n v="4482"/>
    <n v="3647"/>
    <n v="32"/>
    <x v="4"/>
    <s v="StyleRevolution"/>
    <n v="12.9"/>
  </r>
  <r>
    <x v="105"/>
    <x v="2"/>
    <d v="2025-02-04T00:00:00"/>
    <x v="4"/>
    <s v="Explore the latest image on Myntra! Trendy styles await."/>
    <n v="4619"/>
    <n v="821"/>
    <n v="499"/>
    <n v="69285"/>
    <n v="69141"/>
    <n v="298"/>
    <x v="1"/>
    <s v="FashionUpgrade"/>
    <n v="8.57"/>
  </r>
  <r>
    <x v="106"/>
    <x v="1"/>
    <d v="2024-06-21T00:00:00"/>
    <x v="4"/>
    <s v="Explore the latest image on Myntra! Trendy styles await."/>
    <n v="4832"/>
    <n v="893"/>
    <n v="10"/>
    <n v="91808"/>
    <n v="91296"/>
    <n v="182"/>
    <x v="0"/>
    <s v="MyntraFestiveEdit"/>
    <n v="6.25"/>
  </r>
  <r>
    <x v="106"/>
    <x v="1"/>
    <d v="2024-06-21T00:00:00"/>
    <x v="4"/>
    <s v="Explore the latest image on Myntra! Trendy styles await."/>
    <n v="4832"/>
    <n v="893"/>
    <n v="10"/>
    <n v="91808"/>
    <n v="91296"/>
    <n v="182"/>
    <x v="2"/>
    <s v="MyntraFestiveEdit"/>
    <n v="6.25"/>
  </r>
  <r>
    <x v="107"/>
    <x v="0"/>
    <d v="2025-03-25T00:00:00"/>
    <x v="5"/>
    <s v="Explore the latest video on Myntra! Trendy styles await."/>
    <n v="4050"/>
    <n v="871"/>
    <n v="347"/>
    <n v="52650"/>
    <n v="51755"/>
    <n v="209"/>
    <x v="2"/>
    <s v="FashionUpgrade"/>
    <n v="10.01"/>
  </r>
  <r>
    <x v="107"/>
    <x v="0"/>
    <d v="2025-03-25T00:00:00"/>
    <x v="5"/>
    <s v="Explore the latest video on Myntra! Trendy styles await."/>
    <n v="4050"/>
    <n v="871"/>
    <n v="347"/>
    <n v="52650"/>
    <n v="51755"/>
    <n v="209"/>
    <x v="4"/>
    <s v="FashionUpgrade"/>
    <n v="10.01"/>
  </r>
  <r>
    <x v="108"/>
    <x v="0"/>
    <d v="2024-08-08T00:00:00"/>
    <x v="2"/>
    <s v="Explore the latest story on Myntra! Trendy styles await."/>
    <n v="3649"/>
    <n v="215"/>
    <n v="413"/>
    <n v="25543"/>
    <n v="24963"/>
    <n v="167"/>
    <x v="1"/>
    <s v="FashionUpgrade"/>
    <n v="16.739999999999998"/>
  </r>
  <r>
    <x v="108"/>
    <x v="0"/>
    <d v="2024-08-08T00:00:00"/>
    <x v="2"/>
    <s v="Explore the latest story on Myntra! Trendy styles await."/>
    <n v="3649"/>
    <n v="215"/>
    <n v="413"/>
    <n v="25543"/>
    <n v="24963"/>
    <n v="167"/>
    <x v="2"/>
    <s v="FashionUpgrade"/>
    <n v="16.739999999999998"/>
  </r>
  <r>
    <x v="109"/>
    <x v="2"/>
    <d v="2024-07-29T00:00:00"/>
    <x v="0"/>
    <s v="Explore the latest reel on Myntra! Trendy styles await."/>
    <n v="3523"/>
    <n v="753"/>
    <n v="482"/>
    <n v="38753"/>
    <n v="38579"/>
    <n v="270"/>
    <x v="4"/>
    <s v="EndOfSeasonSale"/>
    <n v="12.28"/>
  </r>
  <r>
    <x v="109"/>
    <x v="2"/>
    <d v="2024-07-29T00:00:00"/>
    <x v="0"/>
    <s v="Explore the latest reel on Myntra! Trendy styles await."/>
    <n v="3523"/>
    <n v="753"/>
    <n v="482"/>
    <n v="38753"/>
    <n v="38579"/>
    <n v="270"/>
    <x v="2"/>
    <s v="EndOfSeasonSale"/>
    <n v="12.28"/>
  </r>
  <r>
    <x v="110"/>
    <x v="1"/>
    <d v="2024-11-23T00:00:00"/>
    <x v="4"/>
    <s v="Explore the latest image on Myntra! Trendy styles await."/>
    <n v="2719"/>
    <n v="17"/>
    <n v="285"/>
    <n v="40785"/>
    <n v="40281"/>
    <n v="40"/>
    <x v="1"/>
    <s v="MyntraFestiveEdit"/>
    <n v="7.41"/>
  </r>
  <r>
    <x v="110"/>
    <x v="1"/>
    <d v="2024-11-23T00:00:00"/>
    <x v="4"/>
    <s v="Explore the latest image on Myntra! Trendy styles await."/>
    <n v="2719"/>
    <n v="17"/>
    <n v="285"/>
    <n v="40785"/>
    <n v="40281"/>
    <n v="40"/>
    <x v="2"/>
    <s v="MyntraFestiveEdit"/>
    <n v="7.41"/>
  </r>
  <r>
    <x v="111"/>
    <x v="0"/>
    <d v="2024-10-05T00:00:00"/>
    <x v="2"/>
    <s v="Explore the latest story on Myntra! Trendy styles await."/>
    <n v="1957"/>
    <n v="877"/>
    <n v="238"/>
    <n v="17613"/>
    <n v="16865"/>
    <n v="297"/>
    <x v="1"/>
    <s v="MyntraFestiveEdit"/>
    <n v="17.440000000000001"/>
  </r>
  <r>
    <x v="111"/>
    <x v="0"/>
    <d v="2024-10-05T00:00:00"/>
    <x v="2"/>
    <s v="Explore the latest story on Myntra! Trendy styles await."/>
    <n v="1957"/>
    <n v="877"/>
    <n v="238"/>
    <n v="17613"/>
    <n v="16865"/>
    <n v="297"/>
    <x v="0"/>
    <s v="MyntraFestiveEdit"/>
    <n v="17.440000000000001"/>
  </r>
  <r>
    <x v="112"/>
    <x v="0"/>
    <d v="2024-10-02T00:00:00"/>
    <x v="3"/>
    <s v="Explore the latest carousel on Myntra! Trendy styles await."/>
    <n v="4419"/>
    <n v="236"/>
    <n v="369"/>
    <n v="44190"/>
    <n v="43582"/>
    <n v="10"/>
    <x v="3"/>
    <s v="StyleRevolution"/>
    <n v="11.37"/>
  </r>
  <r>
    <x v="113"/>
    <x v="0"/>
    <d v="2024-11-14T00:00:00"/>
    <x v="2"/>
    <s v="Explore the latest story on Myntra! Trendy styles await."/>
    <n v="4000"/>
    <n v="689"/>
    <n v="488"/>
    <n v="40000"/>
    <n v="39569"/>
    <n v="44"/>
    <x v="4"/>
    <s v="MyntraFestiveEdit"/>
    <n v="12.94"/>
  </r>
  <r>
    <x v="113"/>
    <x v="0"/>
    <d v="2024-11-14T00:00:00"/>
    <x v="2"/>
    <s v="Explore the latest story on Myntra! Trendy styles await."/>
    <n v="4000"/>
    <n v="689"/>
    <n v="488"/>
    <n v="40000"/>
    <n v="39569"/>
    <n v="44"/>
    <x v="1"/>
    <s v="MyntraFestiveEdit"/>
    <n v="12.94"/>
  </r>
  <r>
    <x v="114"/>
    <x v="0"/>
    <d v="2025-05-11T00:00:00"/>
    <x v="4"/>
    <s v="Explore the latest image on Myntra! Trendy styles await."/>
    <n v="2493"/>
    <n v="97"/>
    <n v="44"/>
    <n v="42381"/>
    <n v="41991"/>
    <n v="242"/>
    <x v="0"/>
    <s v="FashionUpgrade"/>
    <n v="6.22"/>
  </r>
  <r>
    <x v="114"/>
    <x v="0"/>
    <d v="2025-05-11T00:00:00"/>
    <x v="4"/>
    <s v="Explore the latest image on Myntra! Trendy styles await."/>
    <n v="2493"/>
    <n v="97"/>
    <n v="44"/>
    <n v="42381"/>
    <n v="41991"/>
    <n v="242"/>
    <x v="2"/>
    <s v="FashionUpgrade"/>
    <n v="6.22"/>
  </r>
  <r>
    <x v="115"/>
    <x v="1"/>
    <d v="2025-03-18T00:00:00"/>
    <x v="0"/>
    <s v="Explore the latest reel on Myntra! Trendy styles await."/>
    <n v="3704"/>
    <n v="186"/>
    <n v="458"/>
    <n v="25928"/>
    <n v="25081"/>
    <n v="131"/>
    <x v="2"/>
    <s v="FashionUpgrade"/>
    <n v="16.77"/>
  </r>
  <r>
    <x v="116"/>
    <x v="0"/>
    <d v="2024-11-04T00:00:00"/>
    <x v="4"/>
    <s v="Explore the latest image on Myntra! Trendy styles await."/>
    <n v="1606"/>
    <n v="451"/>
    <n v="405"/>
    <n v="20878"/>
    <n v="20190"/>
    <n v="219"/>
    <x v="0"/>
    <s v="EndOfSeasonSale"/>
    <n v="11.79"/>
  </r>
  <r>
    <x v="116"/>
    <x v="0"/>
    <d v="2024-11-04T00:00:00"/>
    <x v="4"/>
    <s v="Explore the latest image on Myntra! Trendy styles await."/>
    <n v="1606"/>
    <n v="451"/>
    <n v="405"/>
    <n v="20878"/>
    <n v="20190"/>
    <n v="219"/>
    <x v="2"/>
    <s v="EndOfSeasonSale"/>
    <n v="11.79"/>
  </r>
  <r>
    <x v="117"/>
    <x v="3"/>
    <d v="2024-11-04T00:00:00"/>
    <x v="4"/>
    <s v="Explore the latest image on Myntra! Trendy styles await."/>
    <n v="4551"/>
    <n v="714"/>
    <n v="207"/>
    <n v="68265"/>
    <n v="67754"/>
    <n v="57"/>
    <x v="3"/>
    <s v="EndOfSeasonSale"/>
    <n v="8.02"/>
  </r>
  <r>
    <x v="118"/>
    <x v="2"/>
    <d v="2025-02-07T00:00:00"/>
    <x v="0"/>
    <s v="Explore the latest reel on Myntra! Trendy styles await."/>
    <n v="1970"/>
    <n v="675"/>
    <n v="478"/>
    <n v="9850"/>
    <n v="8924"/>
    <n v="117"/>
    <x v="3"/>
    <s v="StyleRevolution"/>
    <n v="31.71"/>
  </r>
  <r>
    <x v="119"/>
    <x v="3"/>
    <d v="2024-10-21T00:00:00"/>
    <x v="2"/>
    <s v="Explore the latest story on Myntra! Trendy styles await."/>
    <n v="780"/>
    <n v="928"/>
    <n v="301"/>
    <n v="8580"/>
    <n v="8081"/>
    <n v="91"/>
    <x v="0"/>
    <s v="StyleRevolution"/>
    <n v="23.41"/>
  </r>
  <r>
    <x v="119"/>
    <x v="3"/>
    <d v="2024-10-21T00:00:00"/>
    <x v="2"/>
    <s v="Explore the latest story on Myntra! Trendy styles await."/>
    <n v="780"/>
    <n v="928"/>
    <n v="301"/>
    <n v="8580"/>
    <n v="8081"/>
    <n v="91"/>
    <x v="1"/>
    <s v="StyleRevolution"/>
    <n v="23.41"/>
  </r>
  <r>
    <x v="120"/>
    <x v="2"/>
    <d v="2024-07-29T00:00:00"/>
    <x v="2"/>
    <s v="Explore the latest story on Myntra! Trendy styles await."/>
    <n v="498"/>
    <n v="701"/>
    <n v="412"/>
    <n v="4980"/>
    <n v="4185"/>
    <n v="185"/>
    <x v="4"/>
    <s v="StyleRevolution"/>
    <n v="32.35"/>
  </r>
  <r>
    <x v="120"/>
    <x v="2"/>
    <d v="2024-07-29T00:00:00"/>
    <x v="2"/>
    <s v="Explore the latest story on Myntra! Trendy styles await."/>
    <n v="498"/>
    <n v="701"/>
    <n v="412"/>
    <n v="4980"/>
    <n v="4185"/>
    <n v="185"/>
    <x v="2"/>
    <s v="StyleRevolution"/>
    <n v="32.35"/>
  </r>
  <r>
    <x v="121"/>
    <x v="2"/>
    <d v="2024-10-02T00:00:00"/>
    <x v="1"/>
    <s v="Explore the latest text on Myntra! Trendy styles await."/>
    <n v="3432"/>
    <n v="869"/>
    <n v="123"/>
    <n v="54912"/>
    <n v="53916"/>
    <n v="264"/>
    <x v="1"/>
    <s v="EndOfSeasonSale"/>
    <n v="8.06"/>
  </r>
  <r>
    <x v="121"/>
    <x v="2"/>
    <d v="2024-10-02T00:00:00"/>
    <x v="1"/>
    <s v="Explore the latest text on Myntra! Trendy styles await."/>
    <n v="3432"/>
    <n v="869"/>
    <n v="123"/>
    <n v="54912"/>
    <n v="53916"/>
    <n v="264"/>
    <x v="3"/>
    <s v="EndOfSeasonSale"/>
    <n v="8.06"/>
  </r>
  <r>
    <x v="122"/>
    <x v="2"/>
    <d v="2024-06-14T00:00:00"/>
    <x v="2"/>
    <s v="Explore the latest story on Myntra! Trendy styles await."/>
    <n v="4363"/>
    <n v="649"/>
    <n v="140"/>
    <n v="21815"/>
    <n v="21481"/>
    <n v="157"/>
    <x v="0"/>
    <s v="EndOfSeasonSale"/>
    <n v="23.62"/>
  </r>
  <r>
    <x v="122"/>
    <x v="2"/>
    <d v="2024-06-14T00:00:00"/>
    <x v="2"/>
    <s v="Explore the latest story on Myntra! Trendy styles await."/>
    <n v="4363"/>
    <n v="649"/>
    <n v="140"/>
    <n v="21815"/>
    <n v="21481"/>
    <n v="157"/>
    <x v="1"/>
    <s v="EndOfSeasonSale"/>
    <n v="23.62"/>
  </r>
  <r>
    <x v="123"/>
    <x v="1"/>
    <d v="2025-04-06T00:00:00"/>
    <x v="3"/>
    <s v="Explore the latest carousel on Myntra! Trendy styles await."/>
    <n v="736"/>
    <n v="771"/>
    <n v="225"/>
    <n v="5152"/>
    <n v="4706"/>
    <n v="19"/>
    <x v="2"/>
    <s v="MyntraFestiveEdit"/>
    <n v="33.619999999999997"/>
  </r>
  <r>
    <x v="124"/>
    <x v="0"/>
    <d v="2024-09-08T00:00:00"/>
    <x v="3"/>
    <s v="Explore the latest carousel on Myntra! Trendy styles await."/>
    <n v="3811"/>
    <n v="866"/>
    <n v="216"/>
    <n v="34299"/>
    <n v="34088"/>
    <n v="233"/>
    <x v="2"/>
    <s v="MyntraFestiveEdit"/>
    <n v="14.27"/>
  </r>
  <r>
    <x v="125"/>
    <x v="2"/>
    <d v="2025-03-28T00:00:00"/>
    <x v="3"/>
    <s v="Explore the latest carousel on Myntra! Trendy styles await."/>
    <n v="4158"/>
    <n v="167"/>
    <n v="241"/>
    <n v="45738"/>
    <n v="45183"/>
    <n v="142"/>
    <x v="1"/>
    <s v="EndOfSeasonSale"/>
    <n v="9.98"/>
  </r>
  <r>
    <x v="126"/>
    <x v="3"/>
    <d v="2025-01-27T00:00:00"/>
    <x v="0"/>
    <s v="Explore the latest reel on Myntra! Trendy styles await."/>
    <n v="3452"/>
    <n v="652"/>
    <n v="442"/>
    <n v="65588"/>
    <n v="65049"/>
    <n v="158"/>
    <x v="0"/>
    <s v="FashionUpgrade"/>
    <n v="6.93"/>
  </r>
  <r>
    <x v="126"/>
    <x v="3"/>
    <d v="2025-01-27T00:00:00"/>
    <x v="0"/>
    <s v="Explore the latest reel on Myntra! Trendy styles await."/>
    <n v="3452"/>
    <n v="652"/>
    <n v="442"/>
    <n v="65588"/>
    <n v="65049"/>
    <n v="158"/>
    <x v="2"/>
    <s v="FashionUpgrade"/>
    <n v="6.93"/>
  </r>
  <r>
    <x v="127"/>
    <x v="0"/>
    <d v="2025-01-10T00:00:00"/>
    <x v="4"/>
    <s v="Explore the latest image on Myntra! Trendy styles await."/>
    <n v="3092"/>
    <n v="106"/>
    <n v="291"/>
    <n v="27828"/>
    <n v="27217"/>
    <n v="102"/>
    <x v="2"/>
    <s v="StyleRevolution"/>
    <n v="12.54"/>
  </r>
  <r>
    <x v="128"/>
    <x v="0"/>
    <d v="2024-07-21T00:00:00"/>
    <x v="1"/>
    <s v="Explore the latest text on Myntra! Trendy styles await."/>
    <n v="2147"/>
    <n v="430"/>
    <n v="393"/>
    <n v="17176"/>
    <n v="16483"/>
    <n v="170"/>
    <x v="4"/>
    <s v="StyleRevolution"/>
    <n v="17.29"/>
  </r>
  <r>
    <x v="129"/>
    <x v="1"/>
    <d v="2024-09-29T00:00:00"/>
    <x v="0"/>
    <s v="Explore the latest reel on Myntra! Trendy styles await."/>
    <n v="2936"/>
    <n v="439"/>
    <n v="44"/>
    <n v="38168"/>
    <n v="37571"/>
    <n v="22"/>
    <x v="0"/>
    <s v="MyntraFestiveEdit"/>
    <n v="8.9600000000000009"/>
  </r>
  <r>
    <x v="130"/>
    <x v="2"/>
    <d v="2024-10-21T00:00:00"/>
    <x v="0"/>
    <s v="Explore the latest reel on Myntra! Trendy styles await."/>
    <n v="4840"/>
    <n v="658"/>
    <n v="211"/>
    <n v="43560"/>
    <n v="43225"/>
    <n v="57"/>
    <x v="0"/>
    <s v="EndOfSeasonSale"/>
    <n v="13.11"/>
  </r>
  <r>
    <x v="130"/>
    <x v="2"/>
    <d v="2024-10-21T00:00:00"/>
    <x v="0"/>
    <s v="Explore the latest reel on Myntra! Trendy styles await."/>
    <n v="4840"/>
    <n v="658"/>
    <n v="211"/>
    <n v="43560"/>
    <n v="43225"/>
    <n v="57"/>
    <x v="1"/>
    <s v="EndOfSeasonSale"/>
    <n v="13.11"/>
  </r>
  <r>
    <x v="131"/>
    <x v="2"/>
    <d v="2025-03-04T00:00:00"/>
    <x v="2"/>
    <s v="Explore the latest story on Myntra! Trendy styles await."/>
    <n v="1947"/>
    <n v="842"/>
    <n v="101"/>
    <n v="21417"/>
    <n v="20967"/>
    <n v="186"/>
    <x v="1"/>
    <s v="EndOfSeasonSale"/>
    <n v="13.49"/>
  </r>
  <r>
    <x v="132"/>
    <x v="3"/>
    <d v="2025-02-06T00:00:00"/>
    <x v="4"/>
    <s v="Explore the latest image on Myntra! Trendy styles await."/>
    <n v="2072"/>
    <n v="532"/>
    <n v="71"/>
    <n v="37296"/>
    <n v="36467"/>
    <n v="25"/>
    <x v="0"/>
    <s v="MyntraFestiveEdit"/>
    <n v="7.17"/>
  </r>
  <r>
    <x v="133"/>
    <x v="0"/>
    <d v="2025-04-24T00:00:00"/>
    <x v="0"/>
    <s v="Explore the latest reel on Myntra! Trendy styles await."/>
    <n v="3731"/>
    <n v="115"/>
    <n v="135"/>
    <n v="55965"/>
    <n v="55436"/>
    <n v="103"/>
    <x v="4"/>
    <s v="StyleRevolution"/>
    <n v="7.11"/>
  </r>
  <r>
    <x v="134"/>
    <x v="3"/>
    <d v="2024-11-28T00:00:00"/>
    <x v="1"/>
    <s v="Explore the latest text on Myntra! Trendy styles await."/>
    <n v="4213"/>
    <n v="253"/>
    <n v="434"/>
    <n v="75834"/>
    <n v="75437"/>
    <n v="272"/>
    <x v="3"/>
    <s v="MyntraFestiveEdit"/>
    <n v="6.46"/>
  </r>
  <r>
    <x v="135"/>
    <x v="2"/>
    <d v="2024-07-11T00:00:00"/>
    <x v="1"/>
    <s v="Explore the latest text on Myntra! Trendy styles await."/>
    <n v="3134"/>
    <n v="888"/>
    <n v="444"/>
    <n v="21938"/>
    <n v="21337"/>
    <n v="130"/>
    <x v="0"/>
    <s v="StyleRevolution"/>
    <n v="20.36"/>
  </r>
  <r>
    <x v="135"/>
    <x v="2"/>
    <d v="2024-07-11T00:00:00"/>
    <x v="1"/>
    <s v="Explore the latest text on Myntra! Trendy styles await."/>
    <n v="3134"/>
    <n v="888"/>
    <n v="444"/>
    <n v="21938"/>
    <n v="21337"/>
    <n v="130"/>
    <x v="1"/>
    <s v="StyleRevolution"/>
    <n v="20.36"/>
  </r>
  <r>
    <x v="136"/>
    <x v="3"/>
    <d v="2024-07-31T00:00:00"/>
    <x v="5"/>
    <s v="Explore the latest video on Myntra! Trendy styles await."/>
    <n v="3008"/>
    <n v="94"/>
    <n v="37"/>
    <n v="15040"/>
    <n v="14639"/>
    <n v="277"/>
    <x v="4"/>
    <s v="FashionUpgrade"/>
    <n v="20.87"/>
  </r>
  <r>
    <x v="137"/>
    <x v="0"/>
    <d v="2025-03-29T00:00:00"/>
    <x v="4"/>
    <s v="Explore the latest image on Myntra! Trendy styles await."/>
    <n v="305"/>
    <n v="187"/>
    <n v="243"/>
    <n v="4575"/>
    <n v="3704"/>
    <n v="234"/>
    <x v="1"/>
    <s v="StyleRevolution"/>
    <n v="16.07"/>
  </r>
  <r>
    <x v="137"/>
    <x v="0"/>
    <d v="2025-03-29T00:00:00"/>
    <x v="4"/>
    <s v="Explore the latest image on Myntra! Trendy styles await."/>
    <n v="305"/>
    <n v="187"/>
    <n v="243"/>
    <n v="4575"/>
    <n v="3704"/>
    <n v="234"/>
    <x v="3"/>
    <s v="StyleRevolution"/>
    <n v="16.07"/>
  </r>
  <r>
    <x v="138"/>
    <x v="1"/>
    <d v="2024-10-29T00:00:00"/>
    <x v="1"/>
    <s v="Explore the latest text on Myntra! Trendy styles await."/>
    <n v="2746"/>
    <n v="156"/>
    <n v="203"/>
    <n v="32952"/>
    <n v="32147"/>
    <n v="147"/>
    <x v="1"/>
    <s v="EndOfSeasonSale"/>
    <n v="9.42"/>
  </r>
  <r>
    <x v="138"/>
    <x v="1"/>
    <d v="2024-10-29T00:00:00"/>
    <x v="1"/>
    <s v="Explore the latest text on Myntra! Trendy styles await."/>
    <n v="2746"/>
    <n v="156"/>
    <n v="203"/>
    <n v="32952"/>
    <n v="32147"/>
    <n v="147"/>
    <x v="2"/>
    <s v="EndOfSeasonSale"/>
    <n v="9.42"/>
  </r>
  <r>
    <x v="139"/>
    <x v="3"/>
    <d v="2024-07-15T00:00:00"/>
    <x v="4"/>
    <s v="Explore the latest image on Myntra! Trendy styles await."/>
    <n v="2291"/>
    <n v="78"/>
    <n v="485"/>
    <n v="18328"/>
    <n v="18101"/>
    <n v="10"/>
    <x v="4"/>
    <s v="FashionUpgrade"/>
    <n v="15.57"/>
  </r>
  <r>
    <x v="140"/>
    <x v="0"/>
    <d v="2024-08-31T00:00:00"/>
    <x v="4"/>
    <s v="Explore the latest image on Myntra! Trendy styles await."/>
    <n v="3170"/>
    <n v="857"/>
    <n v="379"/>
    <n v="19020"/>
    <n v="18559"/>
    <n v="240"/>
    <x v="0"/>
    <s v="MyntraFestiveEdit"/>
    <n v="23.17"/>
  </r>
  <r>
    <x v="141"/>
    <x v="1"/>
    <d v="2025-03-25T00:00:00"/>
    <x v="2"/>
    <s v="Explore the latest story on Myntra! Trendy styles await."/>
    <n v="2070"/>
    <n v="275"/>
    <n v="386"/>
    <n v="39330"/>
    <n v="38627"/>
    <n v="114"/>
    <x v="0"/>
    <s v="StyleRevolution"/>
    <n v="6.94"/>
  </r>
  <r>
    <x v="142"/>
    <x v="1"/>
    <d v="2024-10-02T00:00:00"/>
    <x v="3"/>
    <s v="Explore the latest carousel on Myntra! Trendy styles await."/>
    <n v="80"/>
    <n v="362"/>
    <n v="80"/>
    <n v="1040"/>
    <n v="349"/>
    <n v="117"/>
    <x v="1"/>
    <s v="EndOfSeasonSale"/>
    <n v="50.19"/>
  </r>
  <r>
    <x v="142"/>
    <x v="1"/>
    <d v="2024-10-02T00:00:00"/>
    <x v="3"/>
    <s v="Explore the latest carousel on Myntra! Trendy styles await."/>
    <n v="80"/>
    <n v="362"/>
    <n v="80"/>
    <n v="1040"/>
    <n v="349"/>
    <n v="117"/>
    <x v="2"/>
    <s v="EndOfSeasonSale"/>
    <n v="50.19"/>
  </r>
  <r>
    <x v="143"/>
    <x v="1"/>
    <d v="2024-10-28T00:00:00"/>
    <x v="2"/>
    <s v="Explore the latest story on Myntra! Trendy styles await."/>
    <n v="4929"/>
    <n v="749"/>
    <n v="452"/>
    <n v="93651"/>
    <n v="92810"/>
    <n v="66"/>
    <x v="3"/>
    <s v="FashionUpgrade"/>
    <n v="6.55"/>
  </r>
  <r>
    <x v="143"/>
    <x v="1"/>
    <d v="2024-10-28T00:00:00"/>
    <x v="2"/>
    <s v="Explore the latest story on Myntra! Trendy styles await."/>
    <n v="4929"/>
    <n v="749"/>
    <n v="452"/>
    <n v="93651"/>
    <n v="92810"/>
    <n v="66"/>
    <x v="2"/>
    <s v="FashionUpgrade"/>
    <n v="6.55"/>
  </r>
  <r>
    <x v="144"/>
    <x v="2"/>
    <d v="2024-08-12T00:00:00"/>
    <x v="3"/>
    <s v="Explore the latest carousel on Myntra! Trendy styles await."/>
    <n v="1878"/>
    <n v="62"/>
    <n v="179"/>
    <n v="37560"/>
    <n v="36874"/>
    <n v="142"/>
    <x v="4"/>
    <s v="FashionUpgrade"/>
    <n v="5.64"/>
  </r>
  <r>
    <x v="144"/>
    <x v="2"/>
    <d v="2024-08-12T00:00:00"/>
    <x v="3"/>
    <s v="Explore the latest carousel on Myntra! Trendy styles await."/>
    <n v="1878"/>
    <n v="62"/>
    <n v="179"/>
    <n v="37560"/>
    <n v="36874"/>
    <n v="142"/>
    <x v="3"/>
    <s v="FashionUpgrade"/>
    <n v="5.64"/>
  </r>
  <r>
    <x v="145"/>
    <x v="1"/>
    <d v="2024-06-05T00:00:00"/>
    <x v="0"/>
    <s v="Explore the latest reel on Myntra! Trendy styles await."/>
    <n v="3065"/>
    <n v="772"/>
    <n v="142"/>
    <n v="18390"/>
    <n v="17875"/>
    <n v="200"/>
    <x v="2"/>
    <s v="FashionUpgrade"/>
    <n v="21.64"/>
  </r>
  <r>
    <x v="146"/>
    <x v="2"/>
    <d v="2024-10-21T00:00:00"/>
    <x v="0"/>
    <s v="Explore the latest reel on Myntra! Trendy styles await."/>
    <n v="3256"/>
    <n v="459"/>
    <n v="266"/>
    <n v="26048"/>
    <n v="25529"/>
    <n v="143"/>
    <x v="0"/>
    <s v="MyntraFestiveEdit"/>
    <n v="15.28"/>
  </r>
  <r>
    <x v="146"/>
    <x v="2"/>
    <d v="2024-10-21T00:00:00"/>
    <x v="0"/>
    <s v="Explore the latest reel on Myntra! Trendy styles await."/>
    <n v="3256"/>
    <n v="459"/>
    <n v="266"/>
    <n v="26048"/>
    <n v="25529"/>
    <n v="143"/>
    <x v="2"/>
    <s v="MyntraFestiveEdit"/>
    <n v="15.28"/>
  </r>
  <r>
    <x v="147"/>
    <x v="2"/>
    <d v="2025-04-15T00:00:00"/>
    <x v="5"/>
    <s v="Explore the latest video on Myntra! Trendy styles await."/>
    <n v="4133"/>
    <n v="466"/>
    <n v="327"/>
    <n v="24798"/>
    <n v="24620"/>
    <n v="176"/>
    <x v="2"/>
    <s v="EndOfSeasonSale"/>
    <n v="19.86"/>
  </r>
  <r>
    <x v="148"/>
    <x v="0"/>
    <d v="2024-06-16T00:00:00"/>
    <x v="5"/>
    <s v="Explore the latest video on Myntra! Trendy styles await."/>
    <n v="1702"/>
    <n v="750"/>
    <n v="179"/>
    <n v="34040"/>
    <n v="33174"/>
    <n v="76"/>
    <x v="3"/>
    <s v="MyntraFestiveEdit"/>
    <n v="7.73"/>
  </r>
  <r>
    <x v="149"/>
    <x v="1"/>
    <d v="2024-08-22T00:00:00"/>
    <x v="3"/>
    <s v="Explore the latest carousel on Myntra! Trendy styles await."/>
    <n v="4295"/>
    <n v="853"/>
    <n v="325"/>
    <n v="85900"/>
    <n v="85788"/>
    <n v="290"/>
    <x v="3"/>
    <s v="EndOfSeasonSale"/>
    <n v="6.37"/>
  </r>
  <r>
    <x v="149"/>
    <x v="1"/>
    <d v="2024-08-22T00:00:00"/>
    <x v="3"/>
    <s v="Explore the latest carousel on Myntra! Trendy styles await."/>
    <n v="4295"/>
    <n v="853"/>
    <n v="325"/>
    <n v="85900"/>
    <n v="85788"/>
    <n v="290"/>
    <x v="0"/>
    <s v="EndOfSeasonSale"/>
    <n v="6.37"/>
  </r>
  <r>
    <x v="150"/>
    <x v="2"/>
    <d v="2024-07-26T00:00:00"/>
    <x v="4"/>
    <s v="Explore the latest image on Myntra! Trendy styles await."/>
    <n v="3559"/>
    <n v="59"/>
    <n v="289"/>
    <n v="35590"/>
    <n v="35105"/>
    <n v="122"/>
    <x v="3"/>
    <s v="MyntraFestiveEdit"/>
    <n v="10.98"/>
  </r>
  <r>
    <x v="150"/>
    <x v="2"/>
    <d v="2024-07-26T00:00:00"/>
    <x v="4"/>
    <s v="Explore the latest image on Myntra! Trendy styles await."/>
    <n v="3559"/>
    <n v="59"/>
    <n v="289"/>
    <n v="35590"/>
    <n v="35105"/>
    <n v="122"/>
    <x v="2"/>
    <s v="MyntraFestiveEdit"/>
    <n v="10.98"/>
  </r>
  <r>
    <x v="151"/>
    <x v="3"/>
    <d v="2025-04-22T00:00:00"/>
    <x v="4"/>
    <s v="Explore the latest image on Myntra! Trendy styles await."/>
    <n v="4804"/>
    <n v="550"/>
    <n v="270"/>
    <n v="28824"/>
    <n v="28370"/>
    <n v="47"/>
    <x v="0"/>
    <s v="StyleRevolution"/>
    <n v="19.510000000000002"/>
  </r>
  <r>
    <x v="151"/>
    <x v="3"/>
    <d v="2025-04-22T00:00:00"/>
    <x v="4"/>
    <s v="Explore the latest image on Myntra! Trendy styles await."/>
    <n v="4804"/>
    <n v="550"/>
    <n v="270"/>
    <n v="28824"/>
    <n v="28370"/>
    <n v="47"/>
    <x v="2"/>
    <s v="StyleRevolution"/>
    <n v="19.510000000000002"/>
  </r>
  <r>
    <x v="152"/>
    <x v="0"/>
    <d v="2025-01-01T00:00:00"/>
    <x v="5"/>
    <s v="Explore the latest video on Myntra! Trendy styles await."/>
    <n v="754"/>
    <n v="197"/>
    <n v="257"/>
    <n v="6786"/>
    <n v="6221"/>
    <n v="212"/>
    <x v="4"/>
    <s v="MyntraFestiveEdit"/>
    <n v="17.8"/>
  </r>
  <r>
    <x v="152"/>
    <x v="0"/>
    <d v="2025-01-01T00:00:00"/>
    <x v="5"/>
    <s v="Explore the latest video on Myntra! Trendy styles await."/>
    <n v="754"/>
    <n v="197"/>
    <n v="257"/>
    <n v="6786"/>
    <n v="6221"/>
    <n v="212"/>
    <x v="3"/>
    <s v="MyntraFestiveEdit"/>
    <n v="17.8"/>
  </r>
  <r>
    <x v="153"/>
    <x v="2"/>
    <d v="2024-10-09T00:00:00"/>
    <x v="3"/>
    <s v="Explore the latest carousel on Myntra! Trendy styles await."/>
    <n v="985"/>
    <n v="932"/>
    <n v="287"/>
    <n v="6895"/>
    <n v="6757"/>
    <n v="64"/>
    <x v="0"/>
    <s v="EndOfSeasonSale"/>
    <n v="31.97"/>
  </r>
  <r>
    <x v="153"/>
    <x v="2"/>
    <d v="2024-10-09T00:00:00"/>
    <x v="3"/>
    <s v="Explore the latest carousel on Myntra! Trendy styles await."/>
    <n v="985"/>
    <n v="932"/>
    <n v="287"/>
    <n v="6895"/>
    <n v="6757"/>
    <n v="64"/>
    <x v="1"/>
    <s v="EndOfSeasonSale"/>
    <n v="31.97"/>
  </r>
  <r>
    <x v="154"/>
    <x v="1"/>
    <d v="2024-12-21T00:00:00"/>
    <x v="4"/>
    <s v="Explore the latest image on Myntra! Trendy styles await."/>
    <n v="2283"/>
    <n v="210"/>
    <n v="130"/>
    <n v="22830"/>
    <n v="22617"/>
    <n v="143"/>
    <x v="1"/>
    <s v="MyntraFestiveEdit"/>
    <n v="11.49"/>
  </r>
  <r>
    <x v="154"/>
    <x v="1"/>
    <d v="2024-12-21T00:00:00"/>
    <x v="4"/>
    <s v="Explore the latest image on Myntra! Trendy styles await."/>
    <n v="2283"/>
    <n v="210"/>
    <n v="130"/>
    <n v="22830"/>
    <n v="22617"/>
    <n v="143"/>
    <x v="2"/>
    <s v="MyntraFestiveEdit"/>
    <n v="11.49"/>
  </r>
  <r>
    <x v="155"/>
    <x v="3"/>
    <d v="2024-10-22T00:00:00"/>
    <x v="3"/>
    <s v="Explore the latest carousel on Myntra! Trendy styles await."/>
    <n v="3352"/>
    <n v="941"/>
    <n v="482"/>
    <n v="43576"/>
    <n v="43338"/>
    <n v="240"/>
    <x v="3"/>
    <s v="MyntraFestiveEdit"/>
    <n v="10.96"/>
  </r>
  <r>
    <x v="156"/>
    <x v="1"/>
    <d v="2024-07-23T00:00:00"/>
    <x v="2"/>
    <s v="Explore the latest story on Myntra! Trendy styles await."/>
    <n v="4775"/>
    <n v="173"/>
    <n v="206"/>
    <n v="47750"/>
    <n v="47544"/>
    <n v="187"/>
    <x v="2"/>
    <s v="StyleRevolution"/>
    <n v="10.79"/>
  </r>
  <r>
    <x v="156"/>
    <x v="1"/>
    <d v="2024-07-23T00:00:00"/>
    <x v="2"/>
    <s v="Explore the latest story on Myntra! Trendy styles await."/>
    <n v="4775"/>
    <n v="173"/>
    <n v="206"/>
    <n v="47750"/>
    <n v="47544"/>
    <n v="187"/>
    <x v="3"/>
    <s v="StyleRevolution"/>
    <n v="10.79"/>
  </r>
  <r>
    <x v="157"/>
    <x v="2"/>
    <d v="2024-08-11T00:00:00"/>
    <x v="2"/>
    <s v="Explore the latest story on Myntra! Trendy styles await."/>
    <n v="1762"/>
    <n v="405"/>
    <n v="423"/>
    <n v="22906"/>
    <n v="21925"/>
    <n v="25"/>
    <x v="4"/>
    <s v="EndOfSeasonSale"/>
    <n v="11.31"/>
  </r>
  <r>
    <x v="158"/>
    <x v="3"/>
    <d v="2024-11-25T00:00:00"/>
    <x v="2"/>
    <s v="Explore the latest story on Myntra! Trendy styles await."/>
    <n v="2120"/>
    <n v="158"/>
    <n v="488"/>
    <n v="12720"/>
    <n v="12085"/>
    <n v="17"/>
    <x v="2"/>
    <s v="EndOfSeasonSale"/>
    <n v="21.75"/>
  </r>
  <r>
    <x v="158"/>
    <x v="3"/>
    <d v="2024-11-25T00:00:00"/>
    <x v="2"/>
    <s v="Explore the latest story on Myntra! Trendy styles await."/>
    <n v="2120"/>
    <n v="158"/>
    <n v="488"/>
    <n v="12720"/>
    <n v="12085"/>
    <n v="17"/>
    <x v="3"/>
    <s v="EndOfSeasonSale"/>
    <n v="21.75"/>
  </r>
  <r>
    <x v="159"/>
    <x v="0"/>
    <d v="2024-08-24T00:00:00"/>
    <x v="5"/>
    <s v="Explore the latest video on Myntra! Trendy styles await."/>
    <n v="1082"/>
    <n v="209"/>
    <n v="484"/>
    <n v="19476"/>
    <n v="18654"/>
    <n v="20"/>
    <x v="2"/>
    <s v="StyleRevolution"/>
    <n v="9.11"/>
  </r>
  <r>
    <x v="160"/>
    <x v="0"/>
    <d v="2025-02-19T00:00:00"/>
    <x v="1"/>
    <s v="Explore the latest text on Myntra! Trendy styles await."/>
    <n v="4671"/>
    <n v="876"/>
    <n v="366"/>
    <n v="51381"/>
    <n v="50565"/>
    <n v="245"/>
    <x v="0"/>
    <s v="EndOfSeasonSale"/>
    <n v="11.51"/>
  </r>
  <r>
    <x v="161"/>
    <x v="3"/>
    <d v="2025-04-01T00:00:00"/>
    <x v="2"/>
    <s v="Explore the latest story on Myntra! Trendy styles await."/>
    <n v="3430"/>
    <n v="566"/>
    <n v="164"/>
    <n v="48020"/>
    <n v="47305"/>
    <n v="120"/>
    <x v="3"/>
    <s v="EndOfSeasonSale"/>
    <n v="8.66"/>
  </r>
  <r>
    <x v="162"/>
    <x v="2"/>
    <d v="2025-04-08T00:00:00"/>
    <x v="4"/>
    <s v="Explore the latest image on Myntra! Trendy styles await."/>
    <n v="4501"/>
    <n v="375"/>
    <n v="323"/>
    <n v="22505"/>
    <n v="21836"/>
    <n v="132"/>
    <x v="1"/>
    <s v="StyleRevolution"/>
    <n v="23.1"/>
  </r>
  <r>
    <x v="163"/>
    <x v="1"/>
    <d v="2025-02-27T00:00:00"/>
    <x v="1"/>
    <s v="Explore the latest text on Myntra! Trendy styles await."/>
    <n v="4934"/>
    <n v="971"/>
    <n v="156"/>
    <n v="39472"/>
    <n v="39025"/>
    <n v="169"/>
    <x v="4"/>
    <s v="EndOfSeasonSale"/>
    <n v="15.36"/>
  </r>
  <r>
    <x v="163"/>
    <x v="1"/>
    <d v="2025-02-27T00:00:00"/>
    <x v="1"/>
    <s v="Explore the latest text on Myntra! Trendy styles await."/>
    <n v="4934"/>
    <n v="971"/>
    <n v="156"/>
    <n v="39472"/>
    <n v="39025"/>
    <n v="169"/>
    <x v="2"/>
    <s v="EndOfSeasonSale"/>
    <n v="15.36"/>
  </r>
  <r>
    <x v="164"/>
    <x v="0"/>
    <d v="2024-12-11T00:00:00"/>
    <x v="1"/>
    <s v="Explore the latest text on Myntra! Trendy styles await."/>
    <n v="3239"/>
    <n v="43"/>
    <n v="211"/>
    <n v="22673"/>
    <n v="22171"/>
    <n v="230"/>
    <x v="3"/>
    <s v="EndOfSeasonSale"/>
    <n v="15.41"/>
  </r>
  <r>
    <x v="164"/>
    <x v="0"/>
    <d v="2024-12-11T00:00:00"/>
    <x v="1"/>
    <s v="Explore the latest text on Myntra! Trendy styles await."/>
    <n v="3239"/>
    <n v="43"/>
    <n v="211"/>
    <n v="22673"/>
    <n v="22171"/>
    <n v="230"/>
    <x v="2"/>
    <s v="EndOfSeasonSale"/>
    <n v="15.41"/>
  </r>
  <r>
    <x v="165"/>
    <x v="0"/>
    <d v="2025-02-16T00:00:00"/>
    <x v="0"/>
    <s v="Explore the latest reel on Myntra! Trendy styles await."/>
    <n v="1076"/>
    <n v="313"/>
    <n v="306"/>
    <n v="11836"/>
    <n v="11596"/>
    <n v="104"/>
    <x v="4"/>
    <s v="EndOfSeasonSale"/>
    <n v="14.32"/>
  </r>
  <r>
    <x v="166"/>
    <x v="2"/>
    <d v="2024-11-28T00:00:00"/>
    <x v="1"/>
    <s v="Explore the latest text on Myntra! Trendy styles await."/>
    <n v="4771"/>
    <n v="818"/>
    <n v="56"/>
    <n v="57252"/>
    <n v="56378"/>
    <n v="150"/>
    <x v="0"/>
    <s v="EndOfSeasonSale"/>
    <n v="9.86"/>
  </r>
  <r>
    <x v="167"/>
    <x v="3"/>
    <d v="2024-11-12T00:00:00"/>
    <x v="1"/>
    <s v="Explore the latest text on Myntra! Trendy styles await."/>
    <n v="2418"/>
    <n v="754"/>
    <n v="54"/>
    <n v="43524"/>
    <n v="42743"/>
    <n v="182"/>
    <x v="1"/>
    <s v="StyleRevolution"/>
    <n v="7.41"/>
  </r>
  <r>
    <x v="167"/>
    <x v="3"/>
    <d v="2024-11-12T00:00:00"/>
    <x v="1"/>
    <s v="Explore the latest text on Myntra! Trendy styles await."/>
    <n v="2418"/>
    <n v="754"/>
    <n v="54"/>
    <n v="43524"/>
    <n v="42743"/>
    <n v="182"/>
    <x v="3"/>
    <s v="StyleRevolution"/>
    <n v="7.41"/>
  </r>
  <r>
    <x v="168"/>
    <x v="1"/>
    <d v="2024-12-03T00:00:00"/>
    <x v="5"/>
    <s v="Explore the latest video on Myntra! Trendy styles await."/>
    <n v="3809"/>
    <n v="273"/>
    <n v="200"/>
    <n v="34281"/>
    <n v="33534"/>
    <n v="83"/>
    <x v="3"/>
    <s v="MyntraFestiveEdit"/>
    <n v="12.49"/>
  </r>
  <r>
    <x v="169"/>
    <x v="0"/>
    <d v="2025-04-28T00:00:00"/>
    <x v="1"/>
    <s v="Explore the latest text on Myntra! Trendy styles await."/>
    <n v="3577"/>
    <n v="596"/>
    <n v="493"/>
    <n v="67963"/>
    <n v="67839"/>
    <n v="53"/>
    <x v="2"/>
    <s v="StyleRevolution"/>
    <n v="6.87"/>
  </r>
  <r>
    <x v="169"/>
    <x v="0"/>
    <d v="2025-04-28T00:00:00"/>
    <x v="1"/>
    <s v="Explore the latest text on Myntra! Trendy styles await."/>
    <n v="3577"/>
    <n v="596"/>
    <n v="493"/>
    <n v="67963"/>
    <n v="67839"/>
    <n v="53"/>
    <x v="3"/>
    <s v="StyleRevolution"/>
    <n v="6.87"/>
  </r>
  <r>
    <x v="170"/>
    <x v="1"/>
    <d v="2024-12-31T00:00:00"/>
    <x v="5"/>
    <s v="Explore the latest video on Myntra! Trendy styles await."/>
    <n v="1018"/>
    <n v="447"/>
    <n v="332"/>
    <n v="18324"/>
    <n v="18164"/>
    <n v="38"/>
    <x v="0"/>
    <s v="StyleRevolution"/>
    <n v="9.81"/>
  </r>
  <r>
    <x v="170"/>
    <x v="1"/>
    <d v="2024-12-31T00:00:00"/>
    <x v="5"/>
    <s v="Explore the latest video on Myntra! Trendy styles await."/>
    <n v="1018"/>
    <n v="447"/>
    <n v="332"/>
    <n v="18324"/>
    <n v="18164"/>
    <n v="38"/>
    <x v="1"/>
    <s v="StyleRevolution"/>
    <n v="9.81"/>
  </r>
  <r>
    <x v="171"/>
    <x v="3"/>
    <d v="2024-08-14T00:00:00"/>
    <x v="3"/>
    <s v="Explore the latest carousel on Myntra! Trendy styles await."/>
    <n v="3073"/>
    <n v="553"/>
    <n v="174"/>
    <n v="52241"/>
    <n v="51605"/>
    <n v="246"/>
    <x v="1"/>
    <s v="StyleRevolution"/>
    <n v="7.27"/>
  </r>
  <r>
    <x v="171"/>
    <x v="3"/>
    <d v="2024-08-14T00:00:00"/>
    <x v="3"/>
    <s v="Explore the latest carousel on Myntra! Trendy styles await."/>
    <n v="3073"/>
    <n v="553"/>
    <n v="174"/>
    <n v="52241"/>
    <n v="51605"/>
    <n v="246"/>
    <x v="2"/>
    <s v="StyleRevolution"/>
    <n v="7.27"/>
  </r>
  <r>
    <x v="172"/>
    <x v="0"/>
    <d v="2024-12-05T00:00:00"/>
    <x v="5"/>
    <s v="Explore the latest video on Myntra! Trendy styles await."/>
    <n v="1330"/>
    <n v="925"/>
    <n v="35"/>
    <n v="15960"/>
    <n v="15379"/>
    <n v="229"/>
    <x v="4"/>
    <s v="StyleRevolution"/>
    <n v="14.35"/>
  </r>
  <r>
    <x v="172"/>
    <x v="0"/>
    <d v="2024-12-05T00:00:00"/>
    <x v="5"/>
    <s v="Explore the latest video on Myntra! Trendy styles await."/>
    <n v="1330"/>
    <n v="925"/>
    <n v="35"/>
    <n v="15960"/>
    <n v="15379"/>
    <n v="229"/>
    <x v="3"/>
    <s v="StyleRevolution"/>
    <n v="14.35"/>
  </r>
  <r>
    <x v="173"/>
    <x v="3"/>
    <d v="2024-06-22T00:00:00"/>
    <x v="1"/>
    <s v="Explore the latest text on Myntra! Trendy styles await."/>
    <n v="3828"/>
    <n v="148"/>
    <n v="253"/>
    <n v="30624"/>
    <n v="30229"/>
    <n v="235"/>
    <x v="0"/>
    <s v="StyleRevolution"/>
    <n v="13.81"/>
  </r>
  <r>
    <x v="173"/>
    <x v="3"/>
    <d v="2024-06-22T00:00:00"/>
    <x v="1"/>
    <s v="Explore the latest text on Myntra! Trendy styles await."/>
    <n v="3828"/>
    <n v="148"/>
    <n v="253"/>
    <n v="30624"/>
    <n v="30229"/>
    <n v="235"/>
    <x v="2"/>
    <s v="StyleRevolution"/>
    <n v="13.81"/>
  </r>
  <r>
    <x v="174"/>
    <x v="2"/>
    <d v="2025-01-17T00:00:00"/>
    <x v="0"/>
    <s v="Explore the latest reel on Myntra! Trendy styles await."/>
    <n v="142"/>
    <n v="784"/>
    <n v="183"/>
    <n v="1704"/>
    <n v="995"/>
    <n v="154"/>
    <x v="0"/>
    <s v="FashionUpgrade"/>
    <n v="65.08"/>
  </r>
  <r>
    <x v="175"/>
    <x v="3"/>
    <d v="2024-06-20T00:00:00"/>
    <x v="5"/>
    <s v="Explore the latest video on Myntra! Trendy styles await."/>
    <n v="3798"/>
    <n v="31"/>
    <n v="279"/>
    <n v="75960"/>
    <n v="75813"/>
    <n v="266"/>
    <x v="1"/>
    <s v="EndOfSeasonSale"/>
    <n v="5.41"/>
  </r>
  <r>
    <x v="176"/>
    <x v="2"/>
    <d v="2024-07-10T00:00:00"/>
    <x v="3"/>
    <s v="Explore the latest carousel on Myntra! Trendy styles await."/>
    <n v="3099"/>
    <n v="694"/>
    <n v="171"/>
    <n v="43386"/>
    <n v="42921"/>
    <n v="52"/>
    <x v="4"/>
    <s v="StyleRevolution"/>
    <n v="9.14"/>
  </r>
  <r>
    <x v="177"/>
    <x v="2"/>
    <d v="2024-11-07T00:00:00"/>
    <x v="5"/>
    <s v="Explore the latest video on Myntra! Trendy styles await."/>
    <n v="129"/>
    <n v="643"/>
    <n v="136"/>
    <n v="1290"/>
    <n v="839"/>
    <n v="238"/>
    <x v="2"/>
    <s v="StyleRevolution"/>
    <n v="70.39"/>
  </r>
  <r>
    <x v="177"/>
    <x v="2"/>
    <d v="2024-11-07T00:00:00"/>
    <x v="5"/>
    <s v="Explore the latest video on Myntra! Trendy styles await."/>
    <n v="129"/>
    <n v="643"/>
    <n v="136"/>
    <n v="1290"/>
    <n v="839"/>
    <n v="238"/>
    <x v="4"/>
    <s v="StyleRevolution"/>
    <n v="70.39"/>
  </r>
  <r>
    <x v="178"/>
    <x v="3"/>
    <d v="2024-07-15T00:00:00"/>
    <x v="3"/>
    <s v="Explore the latest carousel on Myntra! Trendy styles await."/>
    <n v="3796"/>
    <n v="667"/>
    <n v="395"/>
    <n v="64532"/>
    <n v="63550"/>
    <n v="292"/>
    <x v="2"/>
    <s v="FashionUpgrade"/>
    <n v="7.53"/>
  </r>
  <r>
    <x v="179"/>
    <x v="1"/>
    <d v="2024-12-03T00:00:00"/>
    <x v="1"/>
    <s v="Explore the latest text on Myntra! Trendy styles await."/>
    <n v="3711"/>
    <n v="352"/>
    <n v="290"/>
    <n v="48243"/>
    <n v="47579"/>
    <n v="11"/>
    <x v="2"/>
    <s v="StyleRevolution"/>
    <n v="9.02"/>
  </r>
  <r>
    <x v="179"/>
    <x v="1"/>
    <d v="2024-12-03T00:00:00"/>
    <x v="1"/>
    <s v="Explore the latest text on Myntra! Trendy styles await."/>
    <n v="3711"/>
    <n v="352"/>
    <n v="290"/>
    <n v="48243"/>
    <n v="47579"/>
    <n v="11"/>
    <x v="4"/>
    <s v="StyleRevolution"/>
    <n v="9.02"/>
  </r>
  <r>
    <x v="180"/>
    <x v="1"/>
    <d v="2025-03-21T00:00:00"/>
    <x v="4"/>
    <s v="Explore the latest image on Myntra! Trendy styles await."/>
    <n v="606"/>
    <n v="789"/>
    <n v="470"/>
    <n v="7878"/>
    <n v="7389"/>
    <n v="239"/>
    <x v="0"/>
    <s v="EndOfSeasonSale"/>
    <n v="23.67"/>
  </r>
  <r>
    <x v="181"/>
    <x v="3"/>
    <d v="2024-07-31T00:00:00"/>
    <x v="4"/>
    <s v="Explore the latest image on Myntra! Trendy styles await."/>
    <n v="4689"/>
    <n v="134"/>
    <n v="403"/>
    <n v="51579"/>
    <n v="50924"/>
    <n v="173"/>
    <x v="4"/>
    <s v="FashionUpgrade"/>
    <n v="10.130000000000001"/>
  </r>
  <r>
    <x v="182"/>
    <x v="2"/>
    <d v="2024-12-17T00:00:00"/>
    <x v="2"/>
    <s v="Explore the latest story on Myntra! Trendy styles await."/>
    <n v="360"/>
    <n v="590"/>
    <n v="393"/>
    <n v="4680"/>
    <n v="4322"/>
    <n v="208"/>
    <x v="2"/>
    <s v="EndOfSeasonSale"/>
    <n v="28.7"/>
  </r>
  <r>
    <x v="182"/>
    <x v="2"/>
    <d v="2024-12-17T00:00:00"/>
    <x v="2"/>
    <s v="Explore the latest story on Myntra! Trendy styles await."/>
    <n v="360"/>
    <n v="590"/>
    <n v="393"/>
    <n v="4680"/>
    <n v="4322"/>
    <n v="208"/>
    <x v="4"/>
    <s v="EndOfSeasonSale"/>
    <n v="28.7"/>
  </r>
  <r>
    <x v="183"/>
    <x v="0"/>
    <d v="2024-07-28T00:00:00"/>
    <x v="4"/>
    <s v="Explore the latest image on Myntra! Trendy styles await."/>
    <n v="3215"/>
    <n v="960"/>
    <n v="202"/>
    <n v="32150"/>
    <n v="31404"/>
    <n v="251"/>
    <x v="2"/>
    <s v="MyntraFestiveEdit"/>
    <n v="13.61"/>
  </r>
  <r>
    <x v="184"/>
    <x v="2"/>
    <d v="2025-01-11T00:00:00"/>
    <x v="3"/>
    <s v="Explore the latest carousel on Myntra! Trendy styles await."/>
    <n v="4523"/>
    <n v="61"/>
    <n v="157"/>
    <n v="49753"/>
    <n v="49329"/>
    <n v="71"/>
    <x v="0"/>
    <s v="StyleRevolution"/>
    <n v="9.5299999999999994"/>
  </r>
  <r>
    <x v="184"/>
    <x v="2"/>
    <d v="2025-01-11T00:00:00"/>
    <x v="3"/>
    <s v="Explore the latest carousel on Myntra! Trendy styles await."/>
    <n v="4523"/>
    <n v="61"/>
    <n v="157"/>
    <n v="49753"/>
    <n v="49329"/>
    <n v="71"/>
    <x v="3"/>
    <s v="StyleRevolution"/>
    <n v="9.5299999999999994"/>
  </r>
  <r>
    <x v="185"/>
    <x v="3"/>
    <d v="2024-08-24T00:00:00"/>
    <x v="3"/>
    <s v="Explore the latest carousel on Myntra! Trendy styles await."/>
    <n v="4292"/>
    <n v="51"/>
    <n v="392"/>
    <n v="55796"/>
    <n v="54826"/>
    <n v="264"/>
    <x v="3"/>
    <s v="FashionUpgrade"/>
    <n v="8.49"/>
  </r>
  <r>
    <x v="185"/>
    <x v="3"/>
    <d v="2024-08-24T00:00:00"/>
    <x v="3"/>
    <s v="Explore the latest carousel on Myntra! Trendy styles await."/>
    <n v="4292"/>
    <n v="51"/>
    <n v="392"/>
    <n v="55796"/>
    <n v="54826"/>
    <n v="264"/>
    <x v="2"/>
    <s v="FashionUpgrade"/>
    <n v="8.49"/>
  </r>
  <r>
    <x v="186"/>
    <x v="0"/>
    <d v="2024-12-22T00:00:00"/>
    <x v="0"/>
    <s v="Explore the latest reel on Myntra! Trendy styles await."/>
    <n v="1644"/>
    <n v="546"/>
    <n v="150"/>
    <n v="27948"/>
    <n v="27184"/>
    <n v="300"/>
    <x v="0"/>
    <s v="FashionUpgrade"/>
    <n v="8.3699999999999992"/>
  </r>
  <r>
    <x v="186"/>
    <x v="0"/>
    <d v="2024-12-22T00:00:00"/>
    <x v="0"/>
    <s v="Explore the latest reel on Myntra! Trendy styles await."/>
    <n v="1644"/>
    <n v="546"/>
    <n v="150"/>
    <n v="27948"/>
    <n v="27184"/>
    <n v="300"/>
    <x v="3"/>
    <s v="FashionUpgrade"/>
    <n v="8.3699999999999992"/>
  </r>
  <r>
    <x v="187"/>
    <x v="1"/>
    <d v="2024-06-06T00:00:00"/>
    <x v="0"/>
    <s v="Explore the latest reel on Myntra! Trendy styles await."/>
    <n v="2728"/>
    <n v="533"/>
    <n v="215"/>
    <n v="40920"/>
    <n v="40816"/>
    <n v="137"/>
    <x v="0"/>
    <s v="EndOfSeasonSale"/>
    <n v="8.49"/>
  </r>
  <r>
    <x v="188"/>
    <x v="3"/>
    <d v="2025-03-24T00:00:00"/>
    <x v="0"/>
    <s v="Explore the latest reel on Myntra! Trendy styles await."/>
    <n v="3360"/>
    <n v="525"/>
    <n v="500"/>
    <n v="60480"/>
    <n v="59610"/>
    <n v="192"/>
    <x v="0"/>
    <s v="FashionUpgrade"/>
    <n v="7.25"/>
  </r>
  <r>
    <x v="188"/>
    <x v="3"/>
    <d v="2025-03-24T00:00:00"/>
    <x v="0"/>
    <s v="Explore the latest reel on Myntra! Trendy styles await."/>
    <n v="3360"/>
    <n v="525"/>
    <n v="500"/>
    <n v="60480"/>
    <n v="59610"/>
    <n v="192"/>
    <x v="2"/>
    <s v="FashionUpgrade"/>
    <n v="7.25"/>
  </r>
  <r>
    <x v="189"/>
    <x v="1"/>
    <d v="2024-10-04T00:00:00"/>
    <x v="1"/>
    <s v="Explore the latest text on Myntra! Trendy styles await."/>
    <n v="1963"/>
    <n v="213"/>
    <n v="19"/>
    <n v="39260"/>
    <n v="38771"/>
    <n v="145"/>
    <x v="2"/>
    <s v="FashionUpgrade"/>
    <n v="5.59"/>
  </r>
  <r>
    <x v="190"/>
    <x v="1"/>
    <d v="2024-12-03T00:00:00"/>
    <x v="2"/>
    <s v="Explore the latest story on Myntra! Trendy styles await."/>
    <n v="4285"/>
    <n v="886"/>
    <n v="376"/>
    <n v="55705"/>
    <n v="55556"/>
    <n v="51"/>
    <x v="1"/>
    <s v="StyleRevolution"/>
    <n v="9.9600000000000009"/>
  </r>
  <r>
    <x v="190"/>
    <x v="1"/>
    <d v="2024-12-03T00:00:00"/>
    <x v="2"/>
    <s v="Explore the latest story on Myntra! Trendy styles await."/>
    <n v="4285"/>
    <n v="886"/>
    <n v="376"/>
    <n v="55705"/>
    <n v="55556"/>
    <n v="51"/>
    <x v="4"/>
    <s v="StyleRevolution"/>
    <n v="9.9600000000000009"/>
  </r>
  <r>
    <x v="191"/>
    <x v="2"/>
    <d v="2024-11-29T00:00:00"/>
    <x v="5"/>
    <s v="Explore the latest video on Myntra! Trendy styles await."/>
    <n v="1176"/>
    <n v="464"/>
    <n v="394"/>
    <n v="14112"/>
    <n v="13588"/>
    <n v="272"/>
    <x v="4"/>
    <s v="FashionUpgrade"/>
    <n v="14.41"/>
  </r>
  <r>
    <x v="192"/>
    <x v="0"/>
    <d v="2024-09-11T00:00:00"/>
    <x v="4"/>
    <s v="Explore the latest image on Myntra! Trendy styles await."/>
    <n v="4858"/>
    <n v="317"/>
    <n v="129"/>
    <n v="53438"/>
    <n v="52687"/>
    <n v="223"/>
    <x v="4"/>
    <s v="FashionUpgrade"/>
    <n v="9.93"/>
  </r>
  <r>
    <x v="192"/>
    <x v="0"/>
    <d v="2024-09-11T00:00:00"/>
    <x v="4"/>
    <s v="Explore the latest image on Myntra! Trendy styles await."/>
    <n v="4858"/>
    <n v="317"/>
    <n v="129"/>
    <n v="53438"/>
    <n v="52687"/>
    <n v="223"/>
    <x v="3"/>
    <s v="FashionUpgrade"/>
    <n v="9.93"/>
  </r>
  <r>
    <x v="193"/>
    <x v="1"/>
    <d v="2024-10-02T00:00:00"/>
    <x v="2"/>
    <s v="Explore the latest story on Myntra! Trendy styles await."/>
    <n v="4350"/>
    <n v="771"/>
    <n v="7"/>
    <n v="60900"/>
    <n v="60592"/>
    <n v="195"/>
    <x v="4"/>
    <s v="EndOfSeasonSale"/>
    <n v="8.42"/>
  </r>
  <r>
    <x v="193"/>
    <x v="1"/>
    <d v="2024-10-02T00:00:00"/>
    <x v="2"/>
    <s v="Explore the latest story on Myntra! Trendy styles await."/>
    <n v="4350"/>
    <n v="771"/>
    <n v="7"/>
    <n v="60900"/>
    <n v="60592"/>
    <n v="195"/>
    <x v="2"/>
    <s v="EndOfSeasonSale"/>
    <n v="8.42"/>
  </r>
  <r>
    <x v="194"/>
    <x v="2"/>
    <d v="2024-08-15T00:00:00"/>
    <x v="3"/>
    <s v="Explore the latest carousel on Myntra! Trendy styles await."/>
    <n v="914"/>
    <n v="464"/>
    <n v="246"/>
    <n v="11882"/>
    <n v="11500"/>
    <n v="282"/>
    <x v="1"/>
    <s v="MyntraFestiveEdit"/>
    <n v="13.67"/>
  </r>
  <r>
    <x v="194"/>
    <x v="2"/>
    <d v="2024-08-15T00:00:00"/>
    <x v="3"/>
    <s v="Explore the latest carousel on Myntra! Trendy styles await."/>
    <n v="914"/>
    <n v="464"/>
    <n v="246"/>
    <n v="11882"/>
    <n v="11500"/>
    <n v="282"/>
    <x v="3"/>
    <s v="MyntraFestiveEdit"/>
    <n v="13.67"/>
  </r>
  <r>
    <x v="195"/>
    <x v="2"/>
    <d v="2024-12-19T00:00:00"/>
    <x v="1"/>
    <s v="Explore the latest text on Myntra! Trendy styles await."/>
    <n v="1813"/>
    <n v="623"/>
    <n v="72"/>
    <n v="19943"/>
    <n v="18959"/>
    <n v="85"/>
    <x v="3"/>
    <s v="MyntraFestiveEdit"/>
    <n v="12.58"/>
  </r>
  <r>
    <x v="195"/>
    <x v="2"/>
    <d v="2024-12-19T00:00:00"/>
    <x v="1"/>
    <s v="Explore the latest text on Myntra! Trendy styles await."/>
    <n v="1813"/>
    <n v="623"/>
    <n v="72"/>
    <n v="19943"/>
    <n v="18959"/>
    <n v="85"/>
    <x v="1"/>
    <s v="MyntraFestiveEdit"/>
    <n v="12.58"/>
  </r>
  <r>
    <x v="196"/>
    <x v="0"/>
    <d v="2024-10-22T00:00:00"/>
    <x v="0"/>
    <s v="Explore the latest reel on Myntra! Trendy styles await."/>
    <n v="4782"/>
    <n v="721"/>
    <n v="82"/>
    <n v="86076"/>
    <n v="85339"/>
    <n v="19"/>
    <x v="4"/>
    <s v="EndOfSeasonSale"/>
    <n v="6.49"/>
  </r>
  <r>
    <x v="197"/>
    <x v="0"/>
    <d v="2024-09-14T00:00:00"/>
    <x v="4"/>
    <s v="Explore the latest image on Myntra! Trendy styles await."/>
    <n v="1048"/>
    <n v="374"/>
    <n v="450"/>
    <n v="9432"/>
    <n v="8882"/>
    <n v="158"/>
    <x v="3"/>
    <s v="EndOfSeasonSale"/>
    <n v="19.850000000000001"/>
  </r>
  <r>
    <x v="197"/>
    <x v="0"/>
    <d v="2024-09-14T00:00:00"/>
    <x v="4"/>
    <s v="Explore the latest image on Myntra! Trendy styles await."/>
    <n v="1048"/>
    <n v="374"/>
    <n v="450"/>
    <n v="9432"/>
    <n v="8882"/>
    <n v="158"/>
    <x v="0"/>
    <s v="EndOfSeasonSale"/>
    <n v="19.850000000000001"/>
  </r>
  <r>
    <x v="198"/>
    <x v="1"/>
    <d v="2024-11-30T00:00:00"/>
    <x v="3"/>
    <s v="Explore the latest carousel on Myntra! Trendy styles await."/>
    <n v="2509"/>
    <n v="324"/>
    <n v="171"/>
    <n v="35126"/>
    <n v="34685"/>
    <n v="277"/>
    <x v="4"/>
    <s v="EndOfSeasonSale"/>
    <n v="8.5500000000000007"/>
  </r>
  <r>
    <x v="199"/>
    <x v="3"/>
    <d v="2025-04-07T00:00:00"/>
    <x v="0"/>
    <s v="Explore the latest reel on Myntra! Trendy styles await."/>
    <n v="3718"/>
    <n v="385"/>
    <n v="310"/>
    <n v="70642"/>
    <n v="69749"/>
    <n v="233"/>
    <x v="3"/>
    <s v="FashionUpgrade"/>
    <n v="6.25"/>
  </r>
  <r>
    <x v="200"/>
    <x v="0"/>
    <d v="2025-01-15T00:00:00"/>
    <x v="0"/>
    <s v="Explore the latest reel on Myntra! Trendy styles await."/>
    <n v="802"/>
    <n v="262"/>
    <n v="244"/>
    <n v="14436"/>
    <n v="14280"/>
    <n v="49"/>
    <x v="0"/>
    <s v="StyleRevolution"/>
    <n v="9.06"/>
  </r>
  <r>
    <x v="200"/>
    <x v="0"/>
    <d v="2025-01-15T00:00:00"/>
    <x v="0"/>
    <s v="Explore the latest reel on Myntra! Trendy styles await."/>
    <n v="802"/>
    <n v="262"/>
    <n v="244"/>
    <n v="14436"/>
    <n v="14280"/>
    <n v="49"/>
    <x v="4"/>
    <s v="StyleRevolution"/>
    <n v="9.06"/>
  </r>
  <r>
    <x v="201"/>
    <x v="3"/>
    <d v="2024-06-02T00:00:00"/>
    <x v="4"/>
    <s v="Explore the latest image on Myntra! Trendy styles await."/>
    <n v="1871"/>
    <n v="252"/>
    <n v="335"/>
    <n v="29936"/>
    <n v="29576"/>
    <n v="288"/>
    <x v="3"/>
    <s v="EndOfSeasonSale"/>
    <n v="8.2100000000000009"/>
  </r>
  <r>
    <x v="202"/>
    <x v="2"/>
    <d v="2024-11-21T00:00:00"/>
    <x v="3"/>
    <s v="Explore the latest carousel on Myntra! Trendy styles await."/>
    <n v="3773"/>
    <n v="299"/>
    <n v="38"/>
    <n v="71687"/>
    <n v="71447"/>
    <n v="286"/>
    <x v="3"/>
    <s v="StyleRevolution"/>
    <n v="5.73"/>
  </r>
  <r>
    <x v="203"/>
    <x v="2"/>
    <d v="2025-01-01T00:00:00"/>
    <x v="3"/>
    <s v="Explore the latest carousel on Myntra! Trendy styles await."/>
    <n v="2234"/>
    <n v="653"/>
    <n v="432"/>
    <n v="11170"/>
    <n v="10569"/>
    <n v="198"/>
    <x v="4"/>
    <s v="StyleRevolution"/>
    <n v="29.71"/>
  </r>
  <r>
    <x v="203"/>
    <x v="2"/>
    <d v="2025-01-01T00:00:00"/>
    <x v="3"/>
    <s v="Explore the latest carousel on Myntra! Trendy styles await."/>
    <n v="2234"/>
    <n v="653"/>
    <n v="432"/>
    <n v="11170"/>
    <n v="10569"/>
    <n v="198"/>
    <x v="2"/>
    <s v="StyleRevolution"/>
    <n v="29.71"/>
  </r>
  <r>
    <x v="204"/>
    <x v="0"/>
    <d v="2025-04-24T00:00:00"/>
    <x v="5"/>
    <s v="Explore the latest video on Myntra! Trendy styles await."/>
    <n v="3820"/>
    <n v="697"/>
    <n v="268"/>
    <n v="45840"/>
    <n v="45631"/>
    <n v="171"/>
    <x v="2"/>
    <s v="FashionUpgrade"/>
    <n v="10.44"/>
  </r>
  <r>
    <x v="204"/>
    <x v="0"/>
    <d v="2025-04-24T00:00:00"/>
    <x v="5"/>
    <s v="Explore the latest video on Myntra! Trendy styles await."/>
    <n v="3820"/>
    <n v="697"/>
    <n v="268"/>
    <n v="45840"/>
    <n v="45631"/>
    <n v="171"/>
    <x v="4"/>
    <s v="FashionUpgrade"/>
    <n v="10.44"/>
  </r>
  <r>
    <x v="205"/>
    <x v="0"/>
    <d v="2024-06-24T00:00:00"/>
    <x v="1"/>
    <s v="Explore the latest text on Myntra! Trendy styles await."/>
    <n v="941"/>
    <n v="121"/>
    <n v="458"/>
    <n v="14115"/>
    <n v="13838"/>
    <n v="87"/>
    <x v="1"/>
    <s v="EndOfSeasonSale"/>
    <n v="10.77"/>
  </r>
  <r>
    <x v="205"/>
    <x v="0"/>
    <d v="2024-06-24T00:00:00"/>
    <x v="1"/>
    <s v="Explore the latest text on Myntra! Trendy styles await."/>
    <n v="941"/>
    <n v="121"/>
    <n v="458"/>
    <n v="14115"/>
    <n v="13838"/>
    <n v="87"/>
    <x v="0"/>
    <s v="EndOfSeasonSale"/>
    <n v="10.77"/>
  </r>
  <r>
    <x v="206"/>
    <x v="0"/>
    <d v="2024-12-29T00:00:00"/>
    <x v="3"/>
    <s v="Explore the latest carousel on Myntra! Trendy styles await."/>
    <n v="4274"/>
    <n v="340"/>
    <n v="281"/>
    <n v="34192"/>
    <n v="33446"/>
    <n v="129"/>
    <x v="2"/>
    <s v="MyntraFestiveEdit"/>
    <n v="14.32"/>
  </r>
  <r>
    <x v="206"/>
    <x v="0"/>
    <d v="2024-12-29T00:00:00"/>
    <x v="3"/>
    <s v="Explore the latest carousel on Myntra! Trendy styles await."/>
    <n v="4274"/>
    <n v="340"/>
    <n v="281"/>
    <n v="34192"/>
    <n v="33446"/>
    <n v="129"/>
    <x v="4"/>
    <s v="MyntraFestiveEdit"/>
    <n v="14.32"/>
  </r>
  <r>
    <x v="207"/>
    <x v="1"/>
    <d v="2024-06-24T00:00:00"/>
    <x v="5"/>
    <s v="Explore the latest video on Myntra! Trendy styles await."/>
    <n v="2949"/>
    <n v="476"/>
    <n v="403"/>
    <n v="44235"/>
    <n v="43705"/>
    <n v="135"/>
    <x v="3"/>
    <s v="FashionUpgrade"/>
    <n v="8.65"/>
  </r>
  <r>
    <x v="207"/>
    <x v="1"/>
    <d v="2024-06-24T00:00:00"/>
    <x v="5"/>
    <s v="Explore the latest video on Myntra! Trendy styles await."/>
    <n v="2949"/>
    <n v="476"/>
    <n v="403"/>
    <n v="44235"/>
    <n v="43705"/>
    <n v="135"/>
    <x v="4"/>
    <s v="FashionUpgrade"/>
    <n v="8.65"/>
  </r>
  <r>
    <x v="208"/>
    <x v="0"/>
    <d v="2025-03-19T00:00:00"/>
    <x v="5"/>
    <s v="Explore the latest video on Myntra! Trendy styles await."/>
    <n v="3160"/>
    <n v="204"/>
    <n v="297"/>
    <n v="44240"/>
    <n v="43666"/>
    <n v="49"/>
    <x v="2"/>
    <s v="FashionUpgrade"/>
    <n v="8.2799999999999994"/>
  </r>
  <r>
    <x v="208"/>
    <x v="0"/>
    <d v="2025-03-19T00:00:00"/>
    <x v="5"/>
    <s v="Explore the latest video on Myntra! Trendy styles await."/>
    <n v="3160"/>
    <n v="204"/>
    <n v="297"/>
    <n v="44240"/>
    <n v="43666"/>
    <n v="49"/>
    <x v="3"/>
    <s v="FashionUpgrade"/>
    <n v="8.2799999999999994"/>
  </r>
  <r>
    <x v="209"/>
    <x v="1"/>
    <d v="2025-02-19T00:00:00"/>
    <x v="4"/>
    <s v="Explore the latest image on Myntra! Trendy styles await."/>
    <n v="257"/>
    <n v="966"/>
    <n v="398"/>
    <n v="3341"/>
    <n v="2753"/>
    <n v="287"/>
    <x v="3"/>
    <s v="FashionUpgrade"/>
    <n v="48.52"/>
  </r>
  <r>
    <x v="209"/>
    <x v="1"/>
    <d v="2025-02-19T00:00:00"/>
    <x v="4"/>
    <s v="Explore the latest image on Myntra! Trendy styles await."/>
    <n v="257"/>
    <n v="966"/>
    <n v="398"/>
    <n v="3341"/>
    <n v="2753"/>
    <n v="287"/>
    <x v="0"/>
    <s v="FashionUpgrade"/>
    <n v="48.52"/>
  </r>
  <r>
    <x v="210"/>
    <x v="0"/>
    <d v="2024-07-18T00:00:00"/>
    <x v="3"/>
    <s v="Explore the latest carousel on Myntra! Trendy styles await."/>
    <n v="2120"/>
    <n v="38"/>
    <n v="212"/>
    <n v="12720"/>
    <n v="12564"/>
    <n v="21"/>
    <x v="3"/>
    <s v="FashionUpgrade"/>
    <n v="18.63"/>
  </r>
  <r>
    <x v="210"/>
    <x v="0"/>
    <d v="2024-07-18T00:00:00"/>
    <x v="3"/>
    <s v="Explore the latest carousel on Myntra! Trendy styles await."/>
    <n v="2120"/>
    <n v="38"/>
    <n v="212"/>
    <n v="12720"/>
    <n v="12564"/>
    <n v="21"/>
    <x v="0"/>
    <s v="FashionUpgrade"/>
    <n v="18.63"/>
  </r>
  <r>
    <x v="211"/>
    <x v="1"/>
    <d v="2025-03-03T00:00:00"/>
    <x v="5"/>
    <s v="Explore the latest video on Myntra! Trendy styles await."/>
    <n v="3874"/>
    <n v="884"/>
    <n v="19"/>
    <n v="38740"/>
    <n v="38552"/>
    <n v="219"/>
    <x v="2"/>
    <s v="StyleRevolution"/>
    <n v="12.33"/>
  </r>
  <r>
    <x v="212"/>
    <x v="3"/>
    <d v="2025-05-01T00:00:00"/>
    <x v="3"/>
    <s v="Explore the latest carousel on Myntra! Trendy styles await."/>
    <n v="2696"/>
    <n v="628"/>
    <n v="443"/>
    <n v="45832"/>
    <n v="45632"/>
    <n v="248"/>
    <x v="0"/>
    <s v="MyntraFestiveEdit"/>
    <n v="8.2200000000000006"/>
  </r>
  <r>
    <x v="213"/>
    <x v="2"/>
    <d v="2024-12-23T00:00:00"/>
    <x v="4"/>
    <s v="Explore the latest image on Myntra! Trendy styles await."/>
    <n v="521"/>
    <n v="746"/>
    <n v="315"/>
    <n v="4168"/>
    <n v="3399"/>
    <n v="282"/>
    <x v="0"/>
    <s v="FashionUpgrade"/>
    <n v="37.96"/>
  </r>
  <r>
    <x v="214"/>
    <x v="3"/>
    <d v="2025-05-06T00:00:00"/>
    <x v="4"/>
    <s v="Explore the latest image on Myntra! Trendy styles await."/>
    <n v="4872"/>
    <n v="925"/>
    <n v="176"/>
    <n v="82824"/>
    <n v="82543"/>
    <n v="89"/>
    <x v="0"/>
    <s v="FashionUpgrade"/>
    <n v="7.21"/>
  </r>
  <r>
    <x v="214"/>
    <x v="3"/>
    <d v="2025-05-06T00:00:00"/>
    <x v="4"/>
    <s v="Explore the latest image on Myntra! Trendy styles await."/>
    <n v="4872"/>
    <n v="925"/>
    <n v="176"/>
    <n v="82824"/>
    <n v="82543"/>
    <n v="89"/>
    <x v="3"/>
    <s v="FashionUpgrade"/>
    <n v="7.21"/>
  </r>
  <r>
    <x v="215"/>
    <x v="1"/>
    <d v="2024-07-29T00:00:00"/>
    <x v="2"/>
    <s v="Explore the latest story on Myntra! Trendy styles await."/>
    <n v="1509"/>
    <n v="88"/>
    <n v="163"/>
    <n v="30180"/>
    <n v="29689"/>
    <n v="119"/>
    <x v="3"/>
    <s v="FashionUpgrade"/>
    <n v="5.83"/>
  </r>
  <r>
    <x v="216"/>
    <x v="3"/>
    <d v="2024-12-03T00:00:00"/>
    <x v="4"/>
    <s v="Explore the latest image on Myntra! Trendy styles await."/>
    <n v="4606"/>
    <n v="931"/>
    <n v="230"/>
    <n v="92120"/>
    <n v="91440"/>
    <n v="56"/>
    <x v="4"/>
    <s v="MyntraFestiveEdit"/>
    <n v="6.26"/>
  </r>
  <r>
    <x v="216"/>
    <x v="3"/>
    <d v="2024-12-03T00:00:00"/>
    <x v="4"/>
    <s v="Explore the latest image on Myntra! Trendy styles await."/>
    <n v="4606"/>
    <n v="931"/>
    <n v="230"/>
    <n v="92120"/>
    <n v="91440"/>
    <n v="56"/>
    <x v="1"/>
    <s v="MyntraFestiveEdit"/>
    <n v="6.26"/>
  </r>
  <r>
    <x v="217"/>
    <x v="3"/>
    <d v="2024-06-11T00:00:00"/>
    <x v="3"/>
    <s v="Explore the latest carousel on Myntra! Trendy styles await."/>
    <n v="1869"/>
    <n v="453"/>
    <n v="490"/>
    <n v="14952"/>
    <n v="14309"/>
    <n v="275"/>
    <x v="4"/>
    <s v="FashionUpgrade"/>
    <n v="18.809999999999999"/>
  </r>
  <r>
    <x v="217"/>
    <x v="3"/>
    <d v="2024-06-11T00:00:00"/>
    <x v="3"/>
    <s v="Explore the latest carousel on Myntra! Trendy styles await."/>
    <n v="1869"/>
    <n v="453"/>
    <n v="490"/>
    <n v="14952"/>
    <n v="14309"/>
    <n v="275"/>
    <x v="2"/>
    <s v="FashionUpgrade"/>
    <n v="18.809999999999999"/>
  </r>
  <r>
    <x v="218"/>
    <x v="0"/>
    <d v="2025-01-28T00:00:00"/>
    <x v="0"/>
    <s v="Explore the latest reel on Myntra! Trendy styles await."/>
    <n v="1188"/>
    <n v="470"/>
    <n v="174"/>
    <n v="7128"/>
    <n v="6145"/>
    <n v="270"/>
    <x v="2"/>
    <s v="EndOfSeasonSale"/>
    <n v="25.7"/>
  </r>
  <r>
    <x v="218"/>
    <x v="0"/>
    <d v="2025-01-28T00:00:00"/>
    <x v="0"/>
    <s v="Explore the latest reel on Myntra! Trendy styles await."/>
    <n v="1188"/>
    <n v="470"/>
    <n v="174"/>
    <n v="7128"/>
    <n v="6145"/>
    <n v="270"/>
    <x v="1"/>
    <s v="EndOfSeasonSale"/>
    <n v="25.7"/>
  </r>
  <r>
    <x v="219"/>
    <x v="2"/>
    <d v="2024-06-02T00:00:00"/>
    <x v="2"/>
    <s v="Explore the latest story on Myntra! Trendy styles await."/>
    <n v="84"/>
    <n v="897"/>
    <n v="85"/>
    <n v="588"/>
    <n v="8"/>
    <n v="12"/>
    <x v="2"/>
    <s v="EndOfSeasonSale"/>
    <n v="181.29"/>
  </r>
  <r>
    <x v="220"/>
    <x v="3"/>
    <d v="2025-03-23T00:00:00"/>
    <x v="5"/>
    <s v="Explore the latest video on Myntra! Trendy styles await."/>
    <n v="4453"/>
    <n v="111"/>
    <n v="420"/>
    <n v="31171"/>
    <n v="30565"/>
    <n v="23"/>
    <x v="3"/>
    <s v="StyleRevolution"/>
    <n v="15.99"/>
  </r>
  <r>
    <x v="220"/>
    <x v="3"/>
    <d v="2025-03-23T00:00:00"/>
    <x v="5"/>
    <s v="Explore the latest video on Myntra! Trendy styles await."/>
    <n v="4453"/>
    <n v="111"/>
    <n v="420"/>
    <n v="31171"/>
    <n v="30565"/>
    <n v="23"/>
    <x v="1"/>
    <s v="StyleRevolution"/>
    <n v="15.99"/>
  </r>
  <r>
    <x v="221"/>
    <x v="3"/>
    <d v="2024-10-08T00:00:00"/>
    <x v="0"/>
    <s v="Explore the latest reel on Myntra! Trendy styles await."/>
    <n v="1814"/>
    <n v="653"/>
    <n v="363"/>
    <n v="25396"/>
    <n v="25286"/>
    <n v="39"/>
    <x v="2"/>
    <s v="FashionUpgrade"/>
    <n v="11.14"/>
  </r>
  <r>
    <x v="222"/>
    <x v="0"/>
    <d v="2024-11-12T00:00:00"/>
    <x v="4"/>
    <s v="Explore the latest image on Myntra! Trendy styles await."/>
    <n v="3338"/>
    <n v="277"/>
    <n v="118"/>
    <n v="60084"/>
    <n v="59842"/>
    <n v="252"/>
    <x v="2"/>
    <s v="FashionUpgrade"/>
    <n v="6.21"/>
  </r>
  <r>
    <x v="223"/>
    <x v="3"/>
    <d v="2025-05-13T00:00:00"/>
    <x v="4"/>
    <s v="Explore the latest image on Myntra! Trendy styles await."/>
    <n v="602"/>
    <n v="594"/>
    <n v="156"/>
    <n v="4214"/>
    <n v="3363"/>
    <n v="164"/>
    <x v="0"/>
    <s v="MyntraFestiveEdit"/>
    <n v="32.08"/>
  </r>
  <r>
    <x v="224"/>
    <x v="0"/>
    <d v="2024-06-20T00:00:00"/>
    <x v="3"/>
    <s v="Explore the latest carousel on Myntra! Trendy styles await."/>
    <n v="4672"/>
    <n v="325"/>
    <n v="32"/>
    <n v="88768"/>
    <n v="87833"/>
    <n v="118"/>
    <x v="4"/>
    <s v="MyntraFestiveEdit"/>
    <n v="5.67"/>
  </r>
  <r>
    <x v="224"/>
    <x v="0"/>
    <d v="2024-06-20T00:00:00"/>
    <x v="3"/>
    <s v="Explore the latest carousel on Myntra! Trendy styles await."/>
    <n v="4672"/>
    <n v="325"/>
    <n v="32"/>
    <n v="88768"/>
    <n v="87833"/>
    <n v="118"/>
    <x v="0"/>
    <s v="MyntraFestiveEdit"/>
    <n v="5.67"/>
  </r>
  <r>
    <x v="225"/>
    <x v="2"/>
    <d v="2024-08-07T00:00:00"/>
    <x v="3"/>
    <s v="Explore the latest carousel on Myntra! Trendy styles await."/>
    <n v="1741"/>
    <n v="164"/>
    <n v="318"/>
    <n v="8705"/>
    <n v="8272"/>
    <n v="121"/>
    <x v="0"/>
    <s v="EndOfSeasonSale"/>
    <n v="25.54"/>
  </r>
  <r>
    <x v="226"/>
    <x v="2"/>
    <d v="2024-06-12T00:00:00"/>
    <x v="1"/>
    <s v="Explore the latest text on Myntra! Trendy styles await."/>
    <n v="246"/>
    <n v="149"/>
    <n v="130"/>
    <n v="4674"/>
    <n v="4390"/>
    <n v="217"/>
    <x v="3"/>
    <s v="EndOfSeasonSale"/>
    <n v="11.23"/>
  </r>
  <r>
    <x v="226"/>
    <x v="2"/>
    <d v="2024-06-12T00:00:00"/>
    <x v="1"/>
    <s v="Explore the latest text on Myntra! Trendy styles await."/>
    <n v="246"/>
    <n v="149"/>
    <n v="130"/>
    <n v="4674"/>
    <n v="4390"/>
    <n v="217"/>
    <x v="4"/>
    <s v="EndOfSeasonSale"/>
    <n v="11.23"/>
  </r>
  <r>
    <x v="227"/>
    <x v="2"/>
    <d v="2024-07-01T00:00:00"/>
    <x v="2"/>
    <s v="Explore the latest story on Myntra! Trendy styles await."/>
    <n v="4808"/>
    <n v="772"/>
    <n v="320"/>
    <n v="72120"/>
    <n v="71696"/>
    <n v="195"/>
    <x v="3"/>
    <s v="StyleRevolution"/>
    <n v="8.18"/>
  </r>
  <r>
    <x v="227"/>
    <x v="2"/>
    <d v="2024-07-01T00:00:00"/>
    <x v="2"/>
    <s v="Explore the latest story on Myntra! Trendy styles await."/>
    <n v="4808"/>
    <n v="772"/>
    <n v="320"/>
    <n v="72120"/>
    <n v="71696"/>
    <n v="195"/>
    <x v="0"/>
    <s v="StyleRevolution"/>
    <n v="8.18"/>
  </r>
  <r>
    <x v="228"/>
    <x v="2"/>
    <d v="2024-07-03T00:00:00"/>
    <x v="3"/>
    <s v="Explore the latest carousel on Myntra! Trendy styles await."/>
    <n v="4799"/>
    <n v="694"/>
    <n v="289"/>
    <n v="43191"/>
    <n v="42228"/>
    <n v="118"/>
    <x v="3"/>
    <s v="EndOfSeasonSale"/>
    <n v="13.39"/>
  </r>
  <r>
    <x v="229"/>
    <x v="3"/>
    <d v="2024-07-15T00:00:00"/>
    <x v="0"/>
    <s v="Explore the latest reel on Myntra! Trendy styles await."/>
    <n v="3663"/>
    <n v="17"/>
    <n v="295"/>
    <n v="51282"/>
    <n v="50567"/>
    <n v="84"/>
    <x v="0"/>
    <s v="FashionUpgrade"/>
    <n v="7.75"/>
  </r>
  <r>
    <x v="230"/>
    <x v="2"/>
    <d v="2025-05-01T00:00:00"/>
    <x v="1"/>
    <s v="Explore the latest text on Myntra! Trendy styles await."/>
    <n v="1430"/>
    <n v="376"/>
    <n v="33"/>
    <n v="21450"/>
    <n v="20509"/>
    <n v="251"/>
    <x v="4"/>
    <s v="MyntraFestiveEdit"/>
    <n v="8.57"/>
  </r>
  <r>
    <x v="231"/>
    <x v="0"/>
    <d v="2025-04-29T00:00:00"/>
    <x v="2"/>
    <s v="Explore the latest story on Myntra! Trendy styles await."/>
    <n v="249"/>
    <n v="592"/>
    <n v="230"/>
    <n v="1494"/>
    <n v="1044"/>
    <n v="201"/>
    <x v="1"/>
    <s v="StyleRevolution"/>
    <n v="71.69"/>
  </r>
  <r>
    <x v="231"/>
    <x v="0"/>
    <d v="2025-04-29T00:00:00"/>
    <x v="2"/>
    <s v="Explore the latest story on Myntra! Trendy styles await."/>
    <n v="249"/>
    <n v="592"/>
    <n v="230"/>
    <n v="1494"/>
    <n v="1044"/>
    <n v="201"/>
    <x v="3"/>
    <s v="StyleRevolution"/>
    <n v="71.69"/>
  </r>
  <r>
    <x v="232"/>
    <x v="3"/>
    <d v="2025-03-08T00:00:00"/>
    <x v="4"/>
    <s v="Explore the latest image on Myntra! Trendy styles await."/>
    <n v="2382"/>
    <n v="265"/>
    <n v="134"/>
    <n v="38112"/>
    <n v="37437"/>
    <n v="249"/>
    <x v="4"/>
    <s v="EndOfSeasonSale"/>
    <n v="7.3"/>
  </r>
  <r>
    <x v="232"/>
    <x v="3"/>
    <d v="2025-03-08T00:00:00"/>
    <x v="4"/>
    <s v="Explore the latest image on Myntra! Trendy styles await."/>
    <n v="2382"/>
    <n v="265"/>
    <n v="134"/>
    <n v="38112"/>
    <n v="37437"/>
    <n v="249"/>
    <x v="3"/>
    <s v="EndOfSeasonSale"/>
    <n v="7.3"/>
  </r>
  <r>
    <x v="233"/>
    <x v="3"/>
    <d v="2024-06-01T00:00:00"/>
    <x v="1"/>
    <s v="Explore the latest text on Myntra! Trendy styles await."/>
    <n v="1272"/>
    <n v="465"/>
    <n v="99"/>
    <n v="24168"/>
    <n v="23719"/>
    <n v="42"/>
    <x v="1"/>
    <s v="EndOfSeasonSale"/>
    <n v="7.6"/>
  </r>
  <r>
    <x v="233"/>
    <x v="3"/>
    <d v="2024-06-01T00:00:00"/>
    <x v="1"/>
    <s v="Explore the latest text on Myntra! Trendy styles await."/>
    <n v="1272"/>
    <n v="465"/>
    <n v="99"/>
    <n v="24168"/>
    <n v="23719"/>
    <n v="42"/>
    <x v="4"/>
    <s v="EndOfSeasonSale"/>
    <n v="7.6"/>
  </r>
  <r>
    <x v="234"/>
    <x v="3"/>
    <d v="2024-12-22T00:00:00"/>
    <x v="4"/>
    <s v="Explore the latest image on Myntra! Trendy styles await."/>
    <n v="3196"/>
    <n v="941"/>
    <n v="376"/>
    <n v="35156"/>
    <n v="34444"/>
    <n v="241"/>
    <x v="2"/>
    <s v="StyleRevolution"/>
    <n v="12.84"/>
  </r>
  <r>
    <x v="234"/>
    <x v="3"/>
    <d v="2024-12-22T00:00:00"/>
    <x v="4"/>
    <s v="Explore the latest image on Myntra! Trendy styles await."/>
    <n v="3196"/>
    <n v="941"/>
    <n v="376"/>
    <n v="35156"/>
    <n v="34444"/>
    <n v="241"/>
    <x v="3"/>
    <s v="StyleRevolution"/>
    <n v="12.84"/>
  </r>
  <r>
    <x v="235"/>
    <x v="3"/>
    <d v="2024-08-19T00:00:00"/>
    <x v="1"/>
    <s v="Explore the latest text on Myntra! Trendy styles await."/>
    <n v="1257"/>
    <n v="19"/>
    <n v="351"/>
    <n v="12570"/>
    <n v="11660"/>
    <n v="194"/>
    <x v="2"/>
    <s v="FashionUpgrade"/>
    <n v="12.94"/>
  </r>
  <r>
    <x v="236"/>
    <x v="2"/>
    <d v="2024-10-22T00:00:00"/>
    <x v="2"/>
    <s v="Explore the latest story on Myntra! Trendy styles await."/>
    <n v="3770"/>
    <n v="917"/>
    <n v="129"/>
    <n v="71630"/>
    <n v="71322"/>
    <n v="76"/>
    <x v="0"/>
    <s v="StyleRevolution"/>
    <n v="6.72"/>
  </r>
  <r>
    <x v="236"/>
    <x v="2"/>
    <d v="2024-10-22T00:00:00"/>
    <x v="2"/>
    <s v="Explore the latest story on Myntra! Trendy styles await."/>
    <n v="3770"/>
    <n v="917"/>
    <n v="129"/>
    <n v="71630"/>
    <n v="71322"/>
    <n v="76"/>
    <x v="3"/>
    <s v="StyleRevolution"/>
    <n v="6.72"/>
  </r>
  <r>
    <x v="237"/>
    <x v="0"/>
    <d v="2024-07-16T00:00:00"/>
    <x v="1"/>
    <s v="Explore the latest text on Myntra! Trendy styles await."/>
    <n v="4725"/>
    <n v="400"/>
    <n v="362"/>
    <n v="75600"/>
    <n v="74927"/>
    <n v="43"/>
    <x v="3"/>
    <s v="FashionUpgrade"/>
    <n v="7.26"/>
  </r>
  <r>
    <x v="237"/>
    <x v="0"/>
    <d v="2024-07-16T00:00:00"/>
    <x v="1"/>
    <s v="Explore the latest text on Myntra! Trendy styles await."/>
    <n v="4725"/>
    <n v="400"/>
    <n v="362"/>
    <n v="75600"/>
    <n v="74927"/>
    <n v="43"/>
    <x v="1"/>
    <s v="FashionUpgrade"/>
    <n v="7.26"/>
  </r>
  <r>
    <x v="238"/>
    <x v="1"/>
    <d v="2025-02-24T00:00:00"/>
    <x v="1"/>
    <s v="Explore the latest text on Myntra! Trendy styles await."/>
    <n v="4188"/>
    <n v="942"/>
    <n v="118"/>
    <n v="20940"/>
    <n v="20471"/>
    <n v="102"/>
    <x v="2"/>
    <s v="EndOfSeasonSale"/>
    <n v="25.06"/>
  </r>
  <r>
    <x v="239"/>
    <x v="0"/>
    <d v="2024-08-26T00:00:00"/>
    <x v="3"/>
    <s v="Explore the latest carousel on Myntra! Trendy styles await."/>
    <n v="929"/>
    <n v="192"/>
    <n v="322"/>
    <n v="16722"/>
    <n v="15996"/>
    <n v="145"/>
    <x v="1"/>
    <s v="MyntraFestiveEdit"/>
    <n v="8.6300000000000008"/>
  </r>
  <r>
    <x v="240"/>
    <x v="3"/>
    <d v="2025-01-18T00:00:00"/>
    <x v="2"/>
    <s v="Explore the latest story on Myntra! Trendy styles await."/>
    <n v="4321"/>
    <n v="874"/>
    <n v="172"/>
    <n v="30247"/>
    <n v="29254"/>
    <n v="122"/>
    <x v="0"/>
    <s v="MyntraFestiveEdit"/>
    <n v="17.739999999999998"/>
  </r>
  <r>
    <x v="240"/>
    <x v="3"/>
    <d v="2025-01-18T00:00:00"/>
    <x v="2"/>
    <s v="Explore the latest story on Myntra! Trendy styles await."/>
    <n v="4321"/>
    <n v="874"/>
    <n v="172"/>
    <n v="30247"/>
    <n v="29254"/>
    <n v="122"/>
    <x v="1"/>
    <s v="MyntraFestiveEdit"/>
    <n v="17.739999999999998"/>
  </r>
  <r>
    <x v="241"/>
    <x v="3"/>
    <d v="2024-07-07T00:00:00"/>
    <x v="0"/>
    <s v="Explore the latest reel on Myntra! Trendy styles await."/>
    <n v="4767"/>
    <n v="190"/>
    <n v="340"/>
    <n v="28602"/>
    <n v="28044"/>
    <n v="210"/>
    <x v="4"/>
    <s v="StyleRevolution"/>
    <n v="18.52"/>
  </r>
  <r>
    <x v="242"/>
    <x v="0"/>
    <d v="2025-03-06T00:00:00"/>
    <x v="4"/>
    <s v="Explore the latest image on Myntra! Trendy styles await."/>
    <n v="3592"/>
    <n v="911"/>
    <n v="375"/>
    <n v="50288"/>
    <n v="49490"/>
    <n v="32"/>
    <x v="2"/>
    <s v="EndOfSeasonSale"/>
    <n v="9.6999999999999993"/>
  </r>
  <r>
    <x v="243"/>
    <x v="1"/>
    <d v="2024-10-25T00:00:00"/>
    <x v="5"/>
    <s v="Explore the latest video on Myntra! Trendy styles await."/>
    <n v="4661"/>
    <n v="935"/>
    <n v="433"/>
    <n v="23305"/>
    <n v="22583"/>
    <n v="63"/>
    <x v="2"/>
    <s v="FashionUpgrade"/>
    <n v="25.87"/>
  </r>
  <r>
    <x v="243"/>
    <x v="1"/>
    <d v="2024-10-25T00:00:00"/>
    <x v="5"/>
    <s v="Explore the latest video on Myntra! Trendy styles await."/>
    <n v="4661"/>
    <n v="935"/>
    <n v="433"/>
    <n v="23305"/>
    <n v="22583"/>
    <n v="63"/>
    <x v="4"/>
    <s v="FashionUpgrade"/>
    <n v="25.87"/>
  </r>
  <r>
    <x v="244"/>
    <x v="3"/>
    <d v="2025-01-12T00:00:00"/>
    <x v="0"/>
    <s v="Explore the latest reel on Myntra! Trendy styles await."/>
    <n v="4134"/>
    <n v="824"/>
    <n v="99"/>
    <n v="41340"/>
    <n v="41050"/>
    <n v="177"/>
    <x v="1"/>
    <s v="EndOfSeasonSale"/>
    <n v="12.23"/>
  </r>
  <r>
    <x v="245"/>
    <x v="3"/>
    <d v="2024-10-11T00:00:00"/>
    <x v="4"/>
    <s v="Explore the latest image on Myntra! Trendy styles await."/>
    <n v="400"/>
    <n v="680"/>
    <n v="434"/>
    <n v="6400"/>
    <n v="5472"/>
    <n v="160"/>
    <x v="0"/>
    <s v="EndOfSeasonSale"/>
    <n v="23.66"/>
  </r>
  <r>
    <x v="245"/>
    <x v="3"/>
    <d v="2024-10-11T00:00:00"/>
    <x v="4"/>
    <s v="Explore the latest image on Myntra! Trendy styles await."/>
    <n v="400"/>
    <n v="680"/>
    <n v="434"/>
    <n v="6400"/>
    <n v="5472"/>
    <n v="160"/>
    <x v="3"/>
    <s v="EndOfSeasonSale"/>
    <n v="23.66"/>
  </r>
  <r>
    <x v="246"/>
    <x v="3"/>
    <d v="2024-08-27T00:00:00"/>
    <x v="0"/>
    <s v="Explore the latest reel on Myntra! Trendy styles await."/>
    <n v="3960"/>
    <n v="266"/>
    <n v="8"/>
    <n v="35640"/>
    <n v="34850"/>
    <n v="208"/>
    <x v="3"/>
    <s v="StyleRevolution"/>
    <n v="11.88"/>
  </r>
  <r>
    <x v="246"/>
    <x v="3"/>
    <d v="2024-08-27T00:00:00"/>
    <x v="0"/>
    <s v="Explore the latest reel on Myntra! Trendy styles await."/>
    <n v="3960"/>
    <n v="266"/>
    <n v="8"/>
    <n v="35640"/>
    <n v="34850"/>
    <n v="208"/>
    <x v="1"/>
    <s v="StyleRevolution"/>
    <n v="11.88"/>
  </r>
  <r>
    <x v="247"/>
    <x v="3"/>
    <d v="2025-02-02T00:00:00"/>
    <x v="2"/>
    <s v="Explore the latest story on Myntra! Trendy styles await."/>
    <n v="886"/>
    <n v="126"/>
    <n v="153"/>
    <n v="4430"/>
    <n v="4037"/>
    <n v="212"/>
    <x v="0"/>
    <s v="MyntraFestiveEdit"/>
    <n v="26.3"/>
  </r>
  <r>
    <x v="248"/>
    <x v="0"/>
    <d v="2024-07-18T00:00:00"/>
    <x v="4"/>
    <s v="Explore the latest image on Myntra! Trendy styles await."/>
    <n v="827"/>
    <n v="77"/>
    <n v="402"/>
    <n v="14886"/>
    <n v="14129"/>
    <n v="254"/>
    <x v="2"/>
    <s v="EndOfSeasonSale"/>
    <n v="8.77"/>
  </r>
  <r>
    <x v="249"/>
    <x v="3"/>
    <d v="2024-06-22T00:00:00"/>
    <x v="0"/>
    <s v="Explore the latest reel on Myntra! Trendy styles await."/>
    <n v="3813"/>
    <n v="935"/>
    <n v="274"/>
    <n v="68634"/>
    <n v="68488"/>
    <n v="251"/>
    <x v="4"/>
    <s v="FashionUpgrade"/>
    <n v="7.32"/>
  </r>
  <r>
    <x v="249"/>
    <x v="3"/>
    <d v="2024-06-22T00:00:00"/>
    <x v="0"/>
    <s v="Explore the latest reel on Myntra! Trendy styles await."/>
    <n v="3813"/>
    <n v="935"/>
    <n v="274"/>
    <n v="68634"/>
    <n v="68488"/>
    <n v="251"/>
    <x v="3"/>
    <s v="FashionUpgrade"/>
    <n v="7.32"/>
  </r>
  <r>
    <x v="250"/>
    <x v="2"/>
    <d v="2025-03-27T00:00:00"/>
    <x v="3"/>
    <s v="Explore the latest carousel on Myntra! Trendy styles await."/>
    <n v="1377"/>
    <n v="796"/>
    <n v="387"/>
    <n v="22032"/>
    <n v="21869"/>
    <n v="189"/>
    <x v="4"/>
    <s v="MyntraFestiveEdit"/>
    <n v="11.62"/>
  </r>
  <r>
    <x v="250"/>
    <x v="2"/>
    <d v="2025-03-27T00:00:00"/>
    <x v="3"/>
    <s v="Explore the latest carousel on Myntra! Trendy styles await."/>
    <n v="1377"/>
    <n v="796"/>
    <n v="387"/>
    <n v="22032"/>
    <n v="21869"/>
    <n v="189"/>
    <x v="1"/>
    <s v="MyntraFestiveEdit"/>
    <n v="11.62"/>
  </r>
  <r>
    <x v="251"/>
    <x v="3"/>
    <d v="2025-04-28T00:00:00"/>
    <x v="3"/>
    <s v="Explore the latest carousel on Myntra! Trendy styles await."/>
    <n v="2089"/>
    <n v="476"/>
    <n v="69"/>
    <n v="16712"/>
    <n v="16309"/>
    <n v="64"/>
    <x v="2"/>
    <s v="FashionUpgrade"/>
    <n v="15.76"/>
  </r>
  <r>
    <x v="251"/>
    <x v="3"/>
    <d v="2025-04-28T00:00:00"/>
    <x v="3"/>
    <s v="Explore the latest carousel on Myntra! Trendy styles await."/>
    <n v="2089"/>
    <n v="476"/>
    <n v="69"/>
    <n v="16712"/>
    <n v="16309"/>
    <n v="64"/>
    <x v="0"/>
    <s v="FashionUpgrade"/>
    <n v="15.76"/>
  </r>
  <r>
    <x v="252"/>
    <x v="0"/>
    <d v="2024-08-03T00:00:00"/>
    <x v="0"/>
    <s v="Explore the latest reel on Myntra! Trendy styles await."/>
    <n v="3791"/>
    <n v="593"/>
    <n v="228"/>
    <n v="53074"/>
    <n v="52613"/>
    <n v="205"/>
    <x v="2"/>
    <s v="FashionUpgrade"/>
    <n v="8.69"/>
  </r>
  <r>
    <x v="252"/>
    <x v="0"/>
    <d v="2024-08-03T00:00:00"/>
    <x v="0"/>
    <s v="Explore the latest reel on Myntra! Trendy styles await."/>
    <n v="3791"/>
    <n v="593"/>
    <n v="228"/>
    <n v="53074"/>
    <n v="52613"/>
    <n v="205"/>
    <x v="4"/>
    <s v="FashionUpgrade"/>
    <n v="8.69"/>
  </r>
  <r>
    <x v="253"/>
    <x v="0"/>
    <d v="2025-01-14T00:00:00"/>
    <x v="4"/>
    <s v="Explore the latest image on Myntra! Trendy styles await."/>
    <n v="2692"/>
    <n v="115"/>
    <n v="64"/>
    <n v="21536"/>
    <n v="21120"/>
    <n v="224"/>
    <x v="4"/>
    <s v="StyleRevolution"/>
    <n v="13.33"/>
  </r>
  <r>
    <x v="253"/>
    <x v="0"/>
    <d v="2025-01-14T00:00:00"/>
    <x v="4"/>
    <s v="Explore the latest image on Myntra! Trendy styles await."/>
    <n v="2692"/>
    <n v="115"/>
    <n v="64"/>
    <n v="21536"/>
    <n v="21120"/>
    <n v="224"/>
    <x v="3"/>
    <s v="StyleRevolution"/>
    <n v="13.33"/>
  </r>
  <r>
    <x v="254"/>
    <x v="3"/>
    <d v="2025-04-03T00:00:00"/>
    <x v="2"/>
    <s v="Explore the latest story on Myntra! Trendy styles await."/>
    <n v="3767"/>
    <n v="514"/>
    <n v="238"/>
    <n v="37670"/>
    <n v="36807"/>
    <n v="226"/>
    <x v="2"/>
    <s v="FashionUpgrade"/>
    <n v="12"/>
  </r>
  <r>
    <x v="254"/>
    <x v="3"/>
    <d v="2025-04-03T00:00:00"/>
    <x v="2"/>
    <s v="Explore the latest story on Myntra! Trendy styles await."/>
    <n v="3767"/>
    <n v="514"/>
    <n v="238"/>
    <n v="37670"/>
    <n v="36807"/>
    <n v="226"/>
    <x v="4"/>
    <s v="FashionUpgrade"/>
    <n v="12"/>
  </r>
  <r>
    <x v="255"/>
    <x v="1"/>
    <d v="2024-09-18T00:00:00"/>
    <x v="3"/>
    <s v="Explore the latest carousel on Myntra! Trendy styles await."/>
    <n v="2143"/>
    <n v="12"/>
    <n v="204"/>
    <n v="40717"/>
    <n v="40125"/>
    <n v="248"/>
    <x v="4"/>
    <s v="StyleRevolution"/>
    <n v="5.79"/>
  </r>
  <r>
    <x v="255"/>
    <x v="1"/>
    <d v="2024-09-18T00:00:00"/>
    <x v="3"/>
    <s v="Explore the latest carousel on Myntra! Trendy styles await."/>
    <n v="2143"/>
    <n v="12"/>
    <n v="204"/>
    <n v="40717"/>
    <n v="40125"/>
    <n v="248"/>
    <x v="0"/>
    <s v="StyleRevolution"/>
    <n v="5.79"/>
  </r>
  <r>
    <x v="256"/>
    <x v="3"/>
    <d v="2025-04-06T00:00:00"/>
    <x v="4"/>
    <s v="Explore the latest image on Myntra! Trendy styles await."/>
    <n v="3090"/>
    <n v="697"/>
    <n v="164"/>
    <n v="49440"/>
    <n v="48524"/>
    <n v="25"/>
    <x v="4"/>
    <s v="StyleRevolution"/>
    <n v="7.99"/>
  </r>
  <r>
    <x v="256"/>
    <x v="3"/>
    <d v="2025-04-06T00:00:00"/>
    <x v="4"/>
    <s v="Explore the latest image on Myntra! Trendy styles await."/>
    <n v="3090"/>
    <n v="697"/>
    <n v="164"/>
    <n v="49440"/>
    <n v="48524"/>
    <n v="25"/>
    <x v="2"/>
    <s v="StyleRevolution"/>
    <n v="7.99"/>
  </r>
  <r>
    <x v="257"/>
    <x v="2"/>
    <d v="2024-08-05T00:00:00"/>
    <x v="2"/>
    <s v="Explore the latest story on Myntra! Trendy styles await."/>
    <n v="3601"/>
    <n v="695"/>
    <n v="75"/>
    <n v="21606"/>
    <n v="21454"/>
    <n v="172"/>
    <x v="2"/>
    <s v="EndOfSeasonSale"/>
    <n v="20.23"/>
  </r>
  <r>
    <x v="258"/>
    <x v="3"/>
    <d v="2025-02-10T00:00:00"/>
    <x v="1"/>
    <s v="Explore the latest text on Myntra! Trendy styles await."/>
    <n v="562"/>
    <n v="158"/>
    <n v="149"/>
    <n v="3372"/>
    <n v="2940"/>
    <n v="93"/>
    <x v="4"/>
    <s v="StyleRevolution"/>
    <n v="25.77"/>
  </r>
  <r>
    <x v="258"/>
    <x v="3"/>
    <d v="2025-02-10T00:00:00"/>
    <x v="1"/>
    <s v="Explore the latest text on Myntra! Trendy styles await."/>
    <n v="562"/>
    <n v="158"/>
    <n v="149"/>
    <n v="3372"/>
    <n v="2940"/>
    <n v="93"/>
    <x v="0"/>
    <s v="StyleRevolution"/>
    <n v="25.77"/>
  </r>
  <r>
    <x v="259"/>
    <x v="2"/>
    <d v="2025-02-12T00:00:00"/>
    <x v="2"/>
    <s v="Explore the latest story on Myntra! Trendy styles await."/>
    <n v="4332"/>
    <n v="771"/>
    <n v="219"/>
    <n v="60648"/>
    <n v="60397"/>
    <n v="10"/>
    <x v="1"/>
    <s v="MyntraFestiveEdit"/>
    <n v="8.7799999999999994"/>
  </r>
  <r>
    <x v="260"/>
    <x v="2"/>
    <d v="2024-10-27T00:00:00"/>
    <x v="4"/>
    <s v="Explore the latest image on Myntra! Trendy styles await."/>
    <n v="4853"/>
    <n v="837"/>
    <n v="340"/>
    <n v="72795"/>
    <n v="72237"/>
    <n v="170"/>
    <x v="0"/>
    <s v="EndOfSeasonSale"/>
    <n v="8.2799999999999994"/>
  </r>
  <r>
    <x v="261"/>
    <x v="1"/>
    <d v="2025-01-18T00:00:00"/>
    <x v="4"/>
    <s v="Explore the latest image on Myntra! Trendy styles await."/>
    <n v="1206"/>
    <n v="238"/>
    <n v="36"/>
    <n v="9648"/>
    <n v="9417"/>
    <n v="237"/>
    <x v="0"/>
    <s v="MyntraFestiveEdit"/>
    <n v="15.34"/>
  </r>
  <r>
    <x v="261"/>
    <x v="1"/>
    <d v="2025-01-18T00:00:00"/>
    <x v="4"/>
    <s v="Explore the latest image on Myntra! Trendy styles await."/>
    <n v="1206"/>
    <n v="238"/>
    <n v="36"/>
    <n v="9648"/>
    <n v="9417"/>
    <n v="237"/>
    <x v="2"/>
    <s v="MyntraFestiveEdit"/>
    <n v="15.34"/>
  </r>
  <r>
    <x v="262"/>
    <x v="2"/>
    <d v="2024-08-20T00:00:00"/>
    <x v="0"/>
    <s v="Explore the latest reel on Myntra! Trendy styles await."/>
    <n v="2603"/>
    <n v="690"/>
    <n v="205"/>
    <n v="13015"/>
    <n v="12130"/>
    <n v="20"/>
    <x v="3"/>
    <s v="FashionUpgrade"/>
    <n v="26.88"/>
  </r>
  <r>
    <x v="263"/>
    <x v="0"/>
    <d v="2025-01-30T00:00:00"/>
    <x v="4"/>
    <s v="Explore the latest image on Myntra! Trendy styles await."/>
    <n v="59"/>
    <n v="163"/>
    <n v="93"/>
    <n v="590"/>
    <n v="475"/>
    <n v="293"/>
    <x v="3"/>
    <s v="StyleRevolution"/>
    <n v="53.39"/>
  </r>
  <r>
    <x v="264"/>
    <x v="0"/>
    <d v="2025-02-20T00:00:00"/>
    <x v="3"/>
    <s v="Explore the latest carousel on Myntra! Trendy styles await."/>
    <n v="1877"/>
    <n v="745"/>
    <n v="225"/>
    <n v="11262"/>
    <n v="10967"/>
    <n v="41"/>
    <x v="2"/>
    <s v="FashionUpgrade"/>
    <n v="25.28"/>
  </r>
  <r>
    <x v="264"/>
    <x v="0"/>
    <d v="2025-02-20T00:00:00"/>
    <x v="3"/>
    <s v="Explore the latest carousel on Myntra! Trendy styles await."/>
    <n v="1877"/>
    <n v="745"/>
    <n v="225"/>
    <n v="11262"/>
    <n v="10967"/>
    <n v="41"/>
    <x v="0"/>
    <s v="FashionUpgrade"/>
    <n v="25.28"/>
  </r>
  <r>
    <x v="265"/>
    <x v="3"/>
    <d v="2024-11-25T00:00:00"/>
    <x v="2"/>
    <s v="Explore the latest story on Myntra! Trendy styles await."/>
    <n v="4182"/>
    <n v="640"/>
    <n v="240"/>
    <n v="50184"/>
    <n v="49351"/>
    <n v="10"/>
    <x v="0"/>
    <s v="MyntraFestiveEdit"/>
    <n v="10.09"/>
  </r>
  <r>
    <x v="265"/>
    <x v="3"/>
    <d v="2024-11-25T00:00:00"/>
    <x v="2"/>
    <s v="Explore the latest story on Myntra! Trendy styles await."/>
    <n v="4182"/>
    <n v="640"/>
    <n v="240"/>
    <n v="50184"/>
    <n v="49351"/>
    <n v="10"/>
    <x v="2"/>
    <s v="MyntraFestiveEdit"/>
    <n v="10.09"/>
  </r>
  <r>
    <x v="266"/>
    <x v="0"/>
    <d v="2024-10-04T00:00:00"/>
    <x v="0"/>
    <s v="Explore the latest reel on Myntra! Trendy styles await."/>
    <n v="4187"/>
    <n v="66"/>
    <n v="31"/>
    <n v="66992"/>
    <n v="66614"/>
    <n v="62"/>
    <x v="2"/>
    <s v="StyleRevolution"/>
    <n v="6.39"/>
  </r>
  <r>
    <x v="267"/>
    <x v="2"/>
    <d v="2025-04-13T00:00:00"/>
    <x v="0"/>
    <s v="Explore the latest reel on Myntra! Trendy styles await."/>
    <n v="4579"/>
    <n v="125"/>
    <n v="300"/>
    <n v="59527"/>
    <n v="59400"/>
    <n v="269"/>
    <x v="2"/>
    <s v="FashionUpgrade"/>
    <n v="8.41"/>
  </r>
  <r>
    <x v="267"/>
    <x v="2"/>
    <d v="2025-04-13T00:00:00"/>
    <x v="0"/>
    <s v="Explore the latest reel on Myntra! Trendy styles await."/>
    <n v="4579"/>
    <n v="125"/>
    <n v="300"/>
    <n v="59527"/>
    <n v="59400"/>
    <n v="269"/>
    <x v="1"/>
    <s v="FashionUpgrade"/>
    <n v="8.41"/>
  </r>
  <r>
    <x v="268"/>
    <x v="2"/>
    <d v="2024-11-05T00:00:00"/>
    <x v="5"/>
    <s v="Explore the latest video on Myntra! Trendy styles await."/>
    <n v="4561"/>
    <n v="51"/>
    <n v="441"/>
    <n v="22805"/>
    <n v="21890"/>
    <n v="45"/>
    <x v="2"/>
    <s v="EndOfSeasonSale"/>
    <n v="22.16"/>
  </r>
  <r>
    <x v="269"/>
    <x v="1"/>
    <d v="2025-01-15T00:00:00"/>
    <x v="0"/>
    <s v="Explore the latest reel on Myntra! Trendy styles await."/>
    <n v="3774"/>
    <n v="239"/>
    <n v="39"/>
    <n v="60384"/>
    <n v="59490"/>
    <n v="241"/>
    <x v="4"/>
    <s v="MyntraFestiveEdit"/>
    <n v="6.71"/>
  </r>
  <r>
    <x v="270"/>
    <x v="2"/>
    <d v="2024-10-17T00:00:00"/>
    <x v="5"/>
    <s v="Explore the latest video on Myntra! Trendy styles await."/>
    <n v="3575"/>
    <n v="749"/>
    <n v="111"/>
    <n v="21450"/>
    <n v="20785"/>
    <n v="195"/>
    <x v="4"/>
    <s v="MyntraFestiveEdit"/>
    <n v="20.68"/>
  </r>
  <r>
    <x v="271"/>
    <x v="2"/>
    <d v="2025-03-27T00:00:00"/>
    <x v="1"/>
    <s v="Explore the latest text on Myntra! Trendy styles await."/>
    <n v="4941"/>
    <n v="414"/>
    <n v="266"/>
    <n v="39528"/>
    <n v="39154"/>
    <n v="217"/>
    <x v="0"/>
    <s v="EndOfSeasonSale"/>
    <n v="14.22"/>
  </r>
  <r>
    <x v="272"/>
    <x v="1"/>
    <d v="2024-10-12T00:00:00"/>
    <x v="2"/>
    <s v="Explore the latest story on Myntra! Trendy styles await."/>
    <n v="3641"/>
    <n v="226"/>
    <n v="46"/>
    <n v="40051"/>
    <n v="39319"/>
    <n v="296"/>
    <x v="3"/>
    <s v="EndOfSeasonSale"/>
    <n v="9.77"/>
  </r>
  <r>
    <x v="273"/>
    <x v="0"/>
    <d v="2025-01-01T00:00:00"/>
    <x v="3"/>
    <s v="Explore the latest carousel on Myntra! Trendy styles await."/>
    <n v="3535"/>
    <n v="494"/>
    <n v="152"/>
    <n v="53025"/>
    <n v="52791"/>
    <n v="44"/>
    <x v="3"/>
    <s v="EndOfSeasonSale"/>
    <n v="7.88"/>
  </r>
  <r>
    <x v="273"/>
    <x v="0"/>
    <d v="2025-01-01T00:00:00"/>
    <x v="3"/>
    <s v="Explore the latest carousel on Myntra! Trendy styles await."/>
    <n v="3535"/>
    <n v="494"/>
    <n v="152"/>
    <n v="53025"/>
    <n v="52791"/>
    <n v="44"/>
    <x v="2"/>
    <s v="EndOfSeasonSale"/>
    <n v="7.88"/>
  </r>
  <r>
    <x v="274"/>
    <x v="3"/>
    <d v="2024-08-05T00:00:00"/>
    <x v="0"/>
    <s v="Explore the latest reel on Myntra! Trendy styles await."/>
    <n v="1741"/>
    <n v="831"/>
    <n v="345"/>
    <n v="17410"/>
    <n v="16844"/>
    <n v="58"/>
    <x v="1"/>
    <s v="StyleRevolution"/>
    <n v="16.75"/>
  </r>
  <r>
    <x v="274"/>
    <x v="3"/>
    <d v="2024-08-05T00:00:00"/>
    <x v="0"/>
    <s v="Explore the latest reel on Myntra! Trendy styles await."/>
    <n v="1741"/>
    <n v="831"/>
    <n v="345"/>
    <n v="17410"/>
    <n v="16844"/>
    <n v="58"/>
    <x v="4"/>
    <s v="StyleRevolution"/>
    <n v="16.75"/>
  </r>
  <r>
    <x v="275"/>
    <x v="0"/>
    <d v="2024-06-07T00:00:00"/>
    <x v="3"/>
    <s v="Explore the latest carousel on Myntra! Trendy styles await."/>
    <n v="1556"/>
    <n v="195"/>
    <n v="131"/>
    <n v="9336"/>
    <n v="8875"/>
    <n v="137"/>
    <x v="1"/>
    <s v="EndOfSeasonSale"/>
    <n v="20.16"/>
  </r>
  <r>
    <x v="276"/>
    <x v="3"/>
    <d v="2025-04-06T00:00:00"/>
    <x v="4"/>
    <s v="Explore the latest image on Myntra! Trendy styles await."/>
    <n v="4236"/>
    <n v="711"/>
    <n v="298"/>
    <n v="21180"/>
    <n v="20516"/>
    <n v="238"/>
    <x v="3"/>
    <s v="StyleRevolution"/>
    <n v="24.76"/>
  </r>
  <r>
    <x v="276"/>
    <x v="3"/>
    <d v="2025-04-06T00:00:00"/>
    <x v="4"/>
    <s v="Explore the latest image on Myntra! Trendy styles await."/>
    <n v="4236"/>
    <n v="711"/>
    <n v="298"/>
    <n v="21180"/>
    <n v="20516"/>
    <n v="238"/>
    <x v="0"/>
    <s v="StyleRevolution"/>
    <n v="24.76"/>
  </r>
  <r>
    <x v="277"/>
    <x v="0"/>
    <d v="2024-11-26T00:00:00"/>
    <x v="1"/>
    <s v="Explore the latest text on Myntra! Trendy styles await."/>
    <n v="4516"/>
    <n v="836"/>
    <n v="169"/>
    <n v="49676"/>
    <n v="49257"/>
    <n v="282"/>
    <x v="3"/>
    <s v="FashionUpgrade"/>
    <n v="11.11"/>
  </r>
  <r>
    <x v="278"/>
    <x v="1"/>
    <d v="2024-09-02T00:00:00"/>
    <x v="4"/>
    <s v="Explore the latest image on Myntra! Trendy styles await."/>
    <n v="4905"/>
    <n v="845"/>
    <n v="129"/>
    <n v="98100"/>
    <n v="97772"/>
    <n v="279"/>
    <x v="3"/>
    <s v="StyleRevolution"/>
    <n v="5.99"/>
  </r>
  <r>
    <x v="279"/>
    <x v="1"/>
    <d v="2024-10-21T00:00:00"/>
    <x v="5"/>
    <s v="Explore the latest video on Myntra! Trendy styles await."/>
    <n v="4275"/>
    <n v="680"/>
    <n v="385"/>
    <n v="64125"/>
    <n v="63650"/>
    <n v="104"/>
    <x v="2"/>
    <s v="StyleRevolution"/>
    <n v="8.33"/>
  </r>
  <r>
    <x v="280"/>
    <x v="1"/>
    <d v="2025-03-22T00:00:00"/>
    <x v="4"/>
    <s v="Explore the latest image on Myntra! Trendy styles await."/>
    <n v="3166"/>
    <n v="90"/>
    <n v="341"/>
    <n v="56988"/>
    <n v="56125"/>
    <n v="135"/>
    <x v="1"/>
    <s v="EndOfSeasonSale"/>
    <n v="6.31"/>
  </r>
  <r>
    <x v="280"/>
    <x v="1"/>
    <d v="2025-03-22T00:00:00"/>
    <x v="4"/>
    <s v="Explore the latest image on Myntra! Trendy styles await."/>
    <n v="3166"/>
    <n v="90"/>
    <n v="341"/>
    <n v="56988"/>
    <n v="56125"/>
    <n v="135"/>
    <x v="2"/>
    <s v="EndOfSeasonSale"/>
    <n v="6.31"/>
  </r>
  <r>
    <x v="281"/>
    <x v="2"/>
    <d v="2024-10-03T00:00:00"/>
    <x v="5"/>
    <s v="Explore the latest video on Myntra! Trendy styles await."/>
    <n v="1488"/>
    <n v="417"/>
    <n v="168"/>
    <n v="19344"/>
    <n v="18395"/>
    <n v="30"/>
    <x v="0"/>
    <s v="FashionUpgrade"/>
    <n v="10.72"/>
  </r>
  <r>
    <x v="282"/>
    <x v="0"/>
    <d v="2025-05-09T00:00:00"/>
    <x v="0"/>
    <s v="Explore the latest reel on Myntra! Trendy styles await."/>
    <n v="3367"/>
    <n v="302"/>
    <n v="57"/>
    <n v="63973"/>
    <n v="63789"/>
    <n v="157"/>
    <x v="3"/>
    <s v="MyntraFestiveEdit"/>
    <n v="5.82"/>
  </r>
  <r>
    <x v="282"/>
    <x v="0"/>
    <d v="2025-05-09T00:00:00"/>
    <x v="0"/>
    <s v="Explore the latest reel on Myntra! Trendy styles await."/>
    <n v="3367"/>
    <n v="302"/>
    <n v="57"/>
    <n v="63973"/>
    <n v="63789"/>
    <n v="157"/>
    <x v="1"/>
    <s v="MyntraFestiveEdit"/>
    <n v="5.82"/>
  </r>
  <r>
    <x v="283"/>
    <x v="0"/>
    <d v="2024-09-17T00:00:00"/>
    <x v="1"/>
    <s v="Explore the latest text on Myntra! Trendy styles await."/>
    <n v="571"/>
    <n v="190"/>
    <n v="352"/>
    <n v="9707"/>
    <n v="9418"/>
    <n v="231"/>
    <x v="4"/>
    <s v="EndOfSeasonSale"/>
    <n v="11.47"/>
  </r>
  <r>
    <x v="284"/>
    <x v="1"/>
    <d v="2024-07-18T00:00:00"/>
    <x v="1"/>
    <s v="Explore the latest text on Myntra! Trendy styles await."/>
    <n v="4021"/>
    <n v="794"/>
    <n v="77"/>
    <n v="36189"/>
    <n v="35505"/>
    <n v="174"/>
    <x v="4"/>
    <s v="FashionUpgrade"/>
    <n v="13.52"/>
  </r>
  <r>
    <x v="284"/>
    <x v="1"/>
    <d v="2024-07-18T00:00:00"/>
    <x v="1"/>
    <s v="Explore the latest text on Myntra! Trendy styles await."/>
    <n v="4021"/>
    <n v="794"/>
    <n v="77"/>
    <n v="36189"/>
    <n v="35505"/>
    <n v="174"/>
    <x v="2"/>
    <s v="FashionUpgrade"/>
    <n v="13.52"/>
  </r>
  <r>
    <x v="285"/>
    <x v="1"/>
    <d v="2024-09-25T00:00:00"/>
    <x v="5"/>
    <s v="Explore the latest video on Myntra! Trendy styles await."/>
    <n v="3389"/>
    <n v="344"/>
    <n v="229"/>
    <n v="20334"/>
    <n v="19443"/>
    <n v="228"/>
    <x v="1"/>
    <s v="EndOfSeasonSale"/>
    <n v="19.48"/>
  </r>
  <r>
    <x v="285"/>
    <x v="1"/>
    <d v="2024-09-25T00:00:00"/>
    <x v="5"/>
    <s v="Explore the latest video on Myntra! Trendy styles await."/>
    <n v="3389"/>
    <n v="344"/>
    <n v="229"/>
    <n v="20334"/>
    <n v="19443"/>
    <n v="228"/>
    <x v="0"/>
    <s v="EndOfSeasonSale"/>
    <n v="19.48"/>
  </r>
  <r>
    <x v="286"/>
    <x v="2"/>
    <d v="2024-08-15T00:00:00"/>
    <x v="0"/>
    <s v="Explore the latest reel on Myntra! Trendy styles await."/>
    <n v="1164"/>
    <n v="616"/>
    <n v="324"/>
    <n v="6984"/>
    <n v="6636"/>
    <n v="82"/>
    <x v="1"/>
    <s v="MyntraFestiveEdit"/>
    <n v="30.13"/>
  </r>
  <r>
    <x v="286"/>
    <x v="2"/>
    <d v="2024-08-15T00:00:00"/>
    <x v="0"/>
    <s v="Explore the latest reel on Myntra! Trendy styles await."/>
    <n v="1164"/>
    <n v="616"/>
    <n v="324"/>
    <n v="6984"/>
    <n v="6636"/>
    <n v="82"/>
    <x v="3"/>
    <s v="MyntraFestiveEdit"/>
    <n v="30.13"/>
  </r>
  <r>
    <x v="287"/>
    <x v="1"/>
    <d v="2025-04-17T00:00:00"/>
    <x v="3"/>
    <s v="Explore the latest carousel on Myntra! Trendy styles await."/>
    <n v="4780"/>
    <n v="691"/>
    <n v="380"/>
    <n v="86040"/>
    <n v="85743"/>
    <n v="262"/>
    <x v="1"/>
    <s v="MyntraFestiveEdit"/>
    <n v="6.8"/>
  </r>
  <r>
    <x v="287"/>
    <x v="1"/>
    <d v="2025-04-17T00:00:00"/>
    <x v="3"/>
    <s v="Explore the latest carousel on Myntra! Trendy styles await."/>
    <n v="4780"/>
    <n v="691"/>
    <n v="380"/>
    <n v="86040"/>
    <n v="85743"/>
    <n v="262"/>
    <x v="4"/>
    <s v="MyntraFestiveEdit"/>
    <n v="6.8"/>
  </r>
  <r>
    <x v="288"/>
    <x v="3"/>
    <d v="2024-11-28T00:00:00"/>
    <x v="3"/>
    <s v="Explore the latest carousel on Myntra! Trendy styles await."/>
    <n v="2751"/>
    <n v="33"/>
    <n v="430"/>
    <n v="44016"/>
    <n v="43415"/>
    <n v="129"/>
    <x v="3"/>
    <s v="EndOfSeasonSale"/>
    <n v="7.3"/>
  </r>
  <r>
    <x v="288"/>
    <x v="3"/>
    <d v="2024-11-28T00:00:00"/>
    <x v="3"/>
    <s v="Explore the latest carousel on Myntra! Trendy styles await."/>
    <n v="2751"/>
    <n v="33"/>
    <n v="430"/>
    <n v="44016"/>
    <n v="43415"/>
    <n v="129"/>
    <x v="2"/>
    <s v="EndOfSeasonSale"/>
    <n v="7.3"/>
  </r>
  <r>
    <x v="289"/>
    <x v="2"/>
    <d v="2024-12-20T00:00:00"/>
    <x v="3"/>
    <s v="Explore the latest carousel on Myntra! Trendy styles await."/>
    <n v="2107"/>
    <n v="550"/>
    <n v="349"/>
    <n v="35819"/>
    <n v="35340"/>
    <n v="191"/>
    <x v="3"/>
    <s v="MyntraFestiveEdit"/>
    <n v="8.39"/>
  </r>
  <r>
    <x v="290"/>
    <x v="3"/>
    <d v="2024-11-06T00:00:00"/>
    <x v="5"/>
    <s v="Explore the latest video on Myntra! Trendy styles await."/>
    <n v="4663"/>
    <n v="145"/>
    <n v="225"/>
    <n v="69945"/>
    <n v="69596"/>
    <n v="35"/>
    <x v="1"/>
    <s v="EndOfSeasonSale"/>
    <n v="7.2"/>
  </r>
  <r>
    <x v="291"/>
    <x v="3"/>
    <d v="2024-11-17T00:00:00"/>
    <x v="1"/>
    <s v="Explore the latest text on Myntra! Trendy styles await."/>
    <n v="880"/>
    <n v="297"/>
    <n v="345"/>
    <n v="12320"/>
    <n v="11978"/>
    <n v="238"/>
    <x v="0"/>
    <s v="EndOfSeasonSale"/>
    <n v="12.35"/>
  </r>
  <r>
    <x v="292"/>
    <x v="3"/>
    <d v="2025-05-14T00:00:00"/>
    <x v="1"/>
    <s v="Explore the latest text on Myntra! Trendy styles await."/>
    <n v="2634"/>
    <n v="726"/>
    <n v="241"/>
    <n v="28974"/>
    <n v="28102"/>
    <n v="277"/>
    <x v="2"/>
    <s v="MyntraFestiveEdit"/>
    <n v="12.43"/>
  </r>
  <r>
    <x v="293"/>
    <x v="3"/>
    <d v="2024-06-19T00:00:00"/>
    <x v="3"/>
    <s v="Explore the latest carousel on Myntra! Trendy styles await."/>
    <n v="4731"/>
    <n v="173"/>
    <n v="276"/>
    <n v="28386"/>
    <n v="28185"/>
    <n v="89"/>
    <x v="3"/>
    <s v="StyleRevolution"/>
    <n v="18.25"/>
  </r>
  <r>
    <x v="293"/>
    <x v="3"/>
    <d v="2024-06-19T00:00:00"/>
    <x v="3"/>
    <s v="Explore the latest carousel on Myntra! Trendy styles await."/>
    <n v="4731"/>
    <n v="173"/>
    <n v="276"/>
    <n v="28386"/>
    <n v="28185"/>
    <n v="89"/>
    <x v="1"/>
    <s v="StyleRevolution"/>
    <n v="18.25"/>
  </r>
  <r>
    <x v="294"/>
    <x v="0"/>
    <d v="2025-05-06T00:00:00"/>
    <x v="4"/>
    <s v="Explore the latest image on Myntra! Trendy styles await."/>
    <n v="1952"/>
    <n v="344"/>
    <n v="287"/>
    <n v="15616"/>
    <n v="15403"/>
    <n v="235"/>
    <x v="0"/>
    <s v="MyntraFestiveEdit"/>
    <n v="16.54"/>
  </r>
  <r>
    <x v="294"/>
    <x v="0"/>
    <d v="2025-05-06T00:00:00"/>
    <x v="4"/>
    <s v="Explore the latest image on Myntra! Trendy styles await."/>
    <n v="1952"/>
    <n v="344"/>
    <n v="287"/>
    <n v="15616"/>
    <n v="15403"/>
    <n v="235"/>
    <x v="1"/>
    <s v="MyntraFestiveEdit"/>
    <n v="16.54"/>
  </r>
  <r>
    <x v="295"/>
    <x v="0"/>
    <d v="2025-02-11T00:00:00"/>
    <x v="5"/>
    <s v="Explore the latest video on Myntra! Trendy styles await."/>
    <n v="3440"/>
    <n v="13"/>
    <n v="20"/>
    <n v="58480"/>
    <n v="58146"/>
    <n v="210"/>
    <x v="1"/>
    <s v="FashionUpgrade"/>
    <n v="5.94"/>
  </r>
  <r>
    <x v="295"/>
    <x v="0"/>
    <d v="2025-02-11T00:00:00"/>
    <x v="5"/>
    <s v="Explore the latest video on Myntra! Trendy styles await."/>
    <n v="3440"/>
    <n v="13"/>
    <n v="20"/>
    <n v="58480"/>
    <n v="58146"/>
    <n v="210"/>
    <x v="4"/>
    <s v="FashionUpgrade"/>
    <n v="5.94"/>
  </r>
  <r>
    <x v="296"/>
    <x v="0"/>
    <d v="2024-12-24T00:00:00"/>
    <x v="1"/>
    <s v="Explore the latest text on Myntra! Trendy styles await."/>
    <n v="2166"/>
    <n v="354"/>
    <n v="117"/>
    <n v="10830"/>
    <n v="10245"/>
    <n v="24"/>
    <x v="2"/>
    <s v="FashionUpgrade"/>
    <n v="24.35"/>
  </r>
  <r>
    <x v="296"/>
    <x v="0"/>
    <d v="2024-12-24T00:00:00"/>
    <x v="1"/>
    <s v="Explore the latest text on Myntra! Trendy styles await."/>
    <n v="2166"/>
    <n v="354"/>
    <n v="117"/>
    <n v="10830"/>
    <n v="10245"/>
    <n v="24"/>
    <x v="3"/>
    <s v="FashionUpgrade"/>
    <n v="24.35"/>
  </r>
  <r>
    <x v="297"/>
    <x v="3"/>
    <d v="2024-10-24T00:00:00"/>
    <x v="4"/>
    <s v="Explore the latest image on Myntra! Trendy styles await."/>
    <n v="4303"/>
    <n v="451"/>
    <n v="286"/>
    <n v="86060"/>
    <n v="85823"/>
    <n v="14"/>
    <x v="0"/>
    <s v="EndOfSeasonSale"/>
    <n v="5.86"/>
  </r>
  <r>
    <x v="298"/>
    <x v="3"/>
    <d v="2024-08-26T00:00:00"/>
    <x v="4"/>
    <s v="Explore the latest image on Myntra! Trendy styles await."/>
    <n v="2581"/>
    <n v="517"/>
    <n v="117"/>
    <n v="23229"/>
    <n v="22331"/>
    <n v="70"/>
    <x v="0"/>
    <s v="EndOfSeasonSale"/>
    <n v="13.84"/>
  </r>
  <r>
    <x v="298"/>
    <x v="3"/>
    <d v="2024-08-26T00:00:00"/>
    <x v="4"/>
    <s v="Explore the latest image on Myntra! Trendy styles await."/>
    <n v="2581"/>
    <n v="517"/>
    <n v="117"/>
    <n v="23229"/>
    <n v="22331"/>
    <n v="70"/>
    <x v="2"/>
    <s v="EndOfSeasonSale"/>
    <n v="13.84"/>
  </r>
  <r>
    <x v="299"/>
    <x v="0"/>
    <d v="2024-08-31T00:00:00"/>
    <x v="3"/>
    <s v="Explore the latest carousel on Myntra! Trendy styles await."/>
    <n v="4494"/>
    <n v="717"/>
    <n v="45"/>
    <n v="62916"/>
    <n v="62688"/>
    <n v="191"/>
    <x v="1"/>
    <s v="FashionUpgrade"/>
    <n v="8.3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P001"/>
    <x v="0"/>
    <d v="2024-12-23T00:00:00"/>
    <x v="0"/>
    <s v="Explore the latest reel on Myntra! Trendy styles await."/>
    <n v="1461"/>
    <n v="184"/>
    <n v="344"/>
    <n v="21915"/>
    <n v="21675"/>
    <n v="15"/>
    <s v="#MyntraSale"/>
    <x v="0"/>
    <n v="9.08"/>
    <d v="2024-08-01T00:00:00"/>
    <d v="2024-08-31T00:00:00"/>
    <x v="0"/>
  </r>
  <r>
    <s v="P003"/>
    <x v="1"/>
    <d v="2025-05-12T00:00:00"/>
    <x v="0"/>
    <s v="Explore the latest reel on Myntra! Trendy styles await."/>
    <n v="2795"/>
    <n v="105"/>
    <n v="49"/>
    <n v="53105"/>
    <n v="52307"/>
    <n v="204"/>
    <s v="#MyntraFashion,#MyntraSale"/>
    <x v="0"/>
    <n v="5.55"/>
    <d v="2024-08-01T00:00:00"/>
    <d v="2024-08-31T00:00:00"/>
    <x v="0"/>
  </r>
  <r>
    <s v="P004"/>
    <x v="2"/>
    <d v="2024-08-12T00:00:00"/>
    <x v="1"/>
    <s v="Explore the latest story on Myntra! Trendy styles await."/>
    <n v="2404"/>
    <n v="363"/>
    <n v="138"/>
    <n v="19232"/>
    <n v="18636"/>
    <n v="128"/>
    <s v="#MyntraSale"/>
    <x v="0"/>
    <n v="15.11"/>
    <d v="2024-08-01T00:00:00"/>
    <d v="2024-08-31T00:00:00"/>
    <x v="1"/>
  </r>
  <r>
    <s v="P002"/>
    <x v="0"/>
    <d v="2025-04-03T00:00:00"/>
    <x v="2"/>
    <s v="Explore the latest text on Myntra! Trendy styles await."/>
    <n v="4054"/>
    <n v="389"/>
    <n v="493"/>
    <n v="64864"/>
    <n v="64383"/>
    <n v="117"/>
    <s v="#MyntraFashion"/>
    <x v="1"/>
    <n v="7.61"/>
    <d v="2024-06-10T00:00:00"/>
    <d v="2024-07-05T00:00:00"/>
    <x v="0"/>
  </r>
  <r>
    <s v="P005"/>
    <x v="1"/>
    <d v="2024-06-26T00:00:00"/>
    <x v="0"/>
    <s v="Explore the latest reel on Myntra! Trendy styles await."/>
    <n v="3557"/>
    <n v="687"/>
    <n v="424"/>
    <n v="71140"/>
    <n v="70701"/>
    <n v="224"/>
    <s v="#StyleWithMyntra,#MyntraFashion"/>
    <x v="2"/>
    <n v="6.56"/>
    <d v="2024-10-05T00:00:00"/>
    <d v="2024-11-05T00:00:00"/>
    <x v="2"/>
  </r>
  <r>
    <s v="P006"/>
    <x v="3"/>
    <d v="2024-10-31T00:00:00"/>
    <x v="3"/>
    <s v="Explore the latest carousel on Myntra! Trendy styles await."/>
    <n v="2945"/>
    <n v="930"/>
    <n v="355"/>
    <n v="23560"/>
    <n v="23275"/>
    <n v="256"/>
    <s v="#MyntraTrend"/>
    <x v="1"/>
    <n v="17.95"/>
    <d v="2024-06-10T00:00:00"/>
    <d v="2024-07-05T00:00:00"/>
    <x v="0"/>
  </r>
  <r>
    <s v="P007"/>
    <x v="0"/>
    <d v="2024-06-24T00:00:00"/>
    <x v="3"/>
    <s v="Explore the latest carousel on Myntra! Trendy styles await."/>
    <n v="3860"/>
    <n v="201"/>
    <n v="279"/>
    <n v="61760"/>
    <n v="61660"/>
    <n v="235"/>
    <s v="#MyntraTrend"/>
    <x v="2"/>
    <n v="7.03"/>
    <d v="2024-10-05T00:00:00"/>
    <d v="2024-11-05T00:00:00"/>
    <x v="2"/>
  </r>
  <r>
    <s v="P008"/>
    <x v="1"/>
    <d v="2024-07-13T00:00:00"/>
    <x v="4"/>
    <s v="Explore the latest image on Myntra! Trendy styles await."/>
    <n v="3929"/>
    <n v="262"/>
    <n v="278"/>
    <n v="43219"/>
    <n v="42841"/>
    <n v="39"/>
    <s v="#MyntraFashion,#MyntraSale"/>
    <x v="2"/>
    <n v="10.34"/>
    <d v="2024-10-05T00:00:00"/>
    <d v="2024-11-05T00:00:00"/>
    <x v="2"/>
  </r>
  <r>
    <s v="P009"/>
    <x v="3"/>
    <d v="2024-08-30T00:00:00"/>
    <x v="2"/>
    <s v="Explore the latest text on Myntra! Trendy styles await."/>
    <n v="3784"/>
    <n v="808"/>
    <n v="404"/>
    <n v="56760"/>
    <n v="56343"/>
    <n v="131"/>
    <s v="#MyntraFashion,#MyntraSale"/>
    <x v="2"/>
    <n v="8.8000000000000007"/>
    <d v="2024-10-05T00:00:00"/>
    <d v="2024-11-05T00:00:00"/>
    <x v="2"/>
  </r>
  <r>
    <s v="P010"/>
    <x v="3"/>
    <d v="2025-03-11T00:00:00"/>
    <x v="4"/>
    <s v="Explore the latest image on Myntra! Trendy styles await."/>
    <n v="4241"/>
    <n v="902"/>
    <n v="47"/>
    <n v="72097"/>
    <n v="71598"/>
    <n v="167"/>
    <s v="#MyntraTrend"/>
    <x v="3"/>
    <n v="7.2"/>
    <d v="2025-01-10T00:00:00"/>
    <d v="2025-02-10T00:00:00"/>
    <x v="0"/>
  </r>
  <r>
    <s v="P011"/>
    <x v="2"/>
    <d v="2025-02-02T00:00:00"/>
    <x v="1"/>
    <s v="Explore the latest story on Myntra! Trendy styles await."/>
    <n v="1792"/>
    <n v="614"/>
    <n v="497"/>
    <n v="25088"/>
    <n v="24675"/>
    <n v="65"/>
    <s v="#StyleWithMyntra"/>
    <x v="0"/>
    <n v="11.57"/>
    <d v="2024-08-01T00:00:00"/>
    <d v="2024-08-31T00:00:00"/>
    <x v="0"/>
  </r>
  <r>
    <s v="P012"/>
    <x v="3"/>
    <d v="2024-07-21T00:00:00"/>
    <x v="0"/>
    <s v="Explore the latest reel on Myntra! Trendy styles await."/>
    <n v="1946"/>
    <n v="686"/>
    <n v="377"/>
    <n v="23352"/>
    <n v="22982"/>
    <n v="213"/>
    <s v="#StyleWithMyntra,#MyntraSale"/>
    <x v="2"/>
    <n v="12.89"/>
    <d v="2024-10-05T00:00:00"/>
    <d v="2024-11-05T00:00:00"/>
    <x v="2"/>
  </r>
  <r>
    <s v="P013"/>
    <x v="1"/>
    <d v="2024-11-18T00:00:00"/>
    <x v="3"/>
    <s v="Explore the latest carousel on Myntra! Trendy styles await."/>
    <n v="1171"/>
    <n v="286"/>
    <n v="231"/>
    <n v="22249"/>
    <n v="21282"/>
    <n v="114"/>
    <s v="#MyntraFashion"/>
    <x v="3"/>
    <n v="7.59"/>
    <d v="2025-01-10T00:00:00"/>
    <d v="2025-02-10T00:00:00"/>
    <x v="2"/>
  </r>
  <r>
    <s v="P014"/>
    <x v="3"/>
    <d v="2025-02-16T00:00:00"/>
    <x v="1"/>
    <s v="Explore the latest story on Myntra! Trendy styles await."/>
    <n v="4242"/>
    <n v="555"/>
    <n v="131"/>
    <n v="33936"/>
    <n v="33802"/>
    <n v="265"/>
    <s v="#MyntraSale,#MyntraFashion"/>
    <x v="2"/>
    <n v="14.52"/>
    <d v="2024-10-05T00:00:00"/>
    <d v="2024-11-05T00:00:00"/>
    <x v="0"/>
  </r>
  <r>
    <s v="P015"/>
    <x v="3"/>
    <d v="2024-10-24T00:00:00"/>
    <x v="5"/>
    <s v="Explore the latest video on Myntra! Trendy styles await."/>
    <n v="3888"/>
    <n v="604"/>
    <n v="128"/>
    <n v="77760"/>
    <n v="77167"/>
    <n v="20"/>
    <s v="#MyntraFashion,#FashionDeals"/>
    <x v="0"/>
    <n v="5.94"/>
    <d v="2024-08-01T00:00:00"/>
    <d v="2024-08-31T00:00:00"/>
    <x v="0"/>
  </r>
  <r>
    <s v="P016"/>
    <x v="3"/>
    <d v="2024-08-26T00:00:00"/>
    <x v="2"/>
    <s v="Explore the latest text on Myntra! Trendy styles await."/>
    <n v="3452"/>
    <n v="377"/>
    <n v="360"/>
    <n v="55232"/>
    <n v="55075"/>
    <n v="87"/>
    <s v="#MyntraSale,#FashionDeals"/>
    <x v="2"/>
    <n v="7.58"/>
    <d v="2024-10-05T00:00:00"/>
    <d v="2024-11-05T00:00:00"/>
    <x v="2"/>
  </r>
  <r>
    <s v="P017"/>
    <x v="3"/>
    <d v="2025-05-05T00:00:00"/>
    <x v="2"/>
    <s v="Explore the latest text on Myntra! Trendy styles await."/>
    <n v="4441"/>
    <n v="511"/>
    <n v="70"/>
    <n v="53292"/>
    <n v="53082"/>
    <n v="159"/>
    <s v="#FashionDeals"/>
    <x v="2"/>
    <n v="9.42"/>
    <d v="2024-10-05T00:00:00"/>
    <d v="2024-11-05T00:00:00"/>
    <x v="0"/>
  </r>
  <r>
    <s v="P018"/>
    <x v="2"/>
    <d v="2024-08-19T00:00:00"/>
    <x v="0"/>
    <s v="Explore the latest reel on Myntra! Trendy styles await."/>
    <n v="3000"/>
    <n v="382"/>
    <n v="325"/>
    <n v="36000"/>
    <n v="35819"/>
    <n v="19"/>
    <s v="#StyleWithMyntra"/>
    <x v="1"/>
    <n v="10.3"/>
    <d v="2024-06-10T00:00:00"/>
    <d v="2024-07-05T00:00:00"/>
    <x v="0"/>
  </r>
  <r>
    <s v="P019"/>
    <x v="2"/>
    <d v="2024-06-23T00:00:00"/>
    <x v="5"/>
    <s v="Explore the latest video on Myntra! Trendy styles await."/>
    <n v="1071"/>
    <n v="519"/>
    <n v="22"/>
    <n v="16065"/>
    <n v="15865"/>
    <n v="103"/>
    <s v="#MyntraSale,#StyleWithMyntra"/>
    <x v="2"/>
    <n v="10.029999999999999"/>
    <d v="2024-10-05T00:00:00"/>
    <d v="2024-11-05T00:00:00"/>
    <x v="2"/>
  </r>
  <r>
    <s v="P020"/>
    <x v="2"/>
    <d v="2024-09-09T00:00:00"/>
    <x v="3"/>
    <s v="Explore the latest carousel on Myntra! Trendy styles await."/>
    <n v="4054"/>
    <n v="488"/>
    <n v="373"/>
    <n v="77026"/>
    <n v="76881"/>
    <n v="25"/>
    <s v="#MyntraFashion,#MyntraSale"/>
    <x v="2"/>
    <n v="6.38"/>
    <d v="2024-10-05T00:00:00"/>
    <d v="2024-11-05T00:00:00"/>
    <x v="2"/>
  </r>
  <r>
    <s v="P021"/>
    <x v="2"/>
    <d v="2025-01-04T00:00:00"/>
    <x v="0"/>
    <s v="Explore the latest reel on Myntra! Trendy styles await."/>
    <n v="4838"/>
    <n v="640"/>
    <n v="128"/>
    <n v="72570"/>
    <n v="72396"/>
    <n v="83"/>
    <s v="#StyleWithMyntra,#MyntraTrend"/>
    <x v="2"/>
    <n v="7.72"/>
    <d v="2024-10-05T00:00:00"/>
    <d v="2024-11-05T00:00:00"/>
    <x v="0"/>
  </r>
  <r>
    <s v="P022"/>
    <x v="3"/>
    <d v="2025-02-27T00:00:00"/>
    <x v="2"/>
    <s v="Explore the latest text on Myntra! Trendy styles await."/>
    <n v="1570"/>
    <n v="187"/>
    <n v="260"/>
    <n v="25120"/>
    <n v="24613"/>
    <n v="133"/>
    <s v="#MyntraSale"/>
    <x v="3"/>
    <n v="8.0299999999999994"/>
    <d v="2025-01-10T00:00:00"/>
    <d v="2025-02-10T00:00:00"/>
    <x v="0"/>
  </r>
  <r>
    <s v="P023"/>
    <x v="3"/>
    <d v="2024-11-06T00:00:00"/>
    <x v="5"/>
    <s v="Explore the latest video on Myntra! Trendy styles await."/>
    <n v="1606"/>
    <n v="547"/>
    <n v="316"/>
    <n v="32120"/>
    <n v="31736"/>
    <n v="225"/>
    <s v="#MyntraSale"/>
    <x v="2"/>
    <n v="7.69"/>
    <d v="2024-10-05T00:00:00"/>
    <d v="2024-11-05T00:00:00"/>
    <x v="0"/>
  </r>
  <r>
    <s v="P024"/>
    <x v="3"/>
    <d v="2025-01-23T00:00:00"/>
    <x v="5"/>
    <s v="Explore the latest video on Myntra! Trendy styles await."/>
    <n v="3961"/>
    <n v="761"/>
    <n v="131"/>
    <n v="67337"/>
    <n v="66615"/>
    <n v="161"/>
    <s v="#MyntraTrend"/>
    <x v="1"/>
    <n v="7.21"/>
    <d v="2024-06-10T00:00:00"/>
    <d v="2024-07-05T00:00:00"/>
    <x v="0"/>
  </r>
  <r>
    <s v="P025"/>
    <x v="0"/>
    <d v="2025-04-10T00:00:00"/>
    <x v="3"/>
    <s v="Explore the latest carousel on Myntra! Trendy styles await."/>
    <n v="3128"/>
    <n v="211"/>
    <n v="197"/>
    <n v="59432"/>
    <n v="59182"/>
    <n v="238"/>
    <s v="#StyleWithMyntra,#MyntraSale"/>
    <x v="0"/>
    <n v="5.95"/>
    <d v="2024-08-01T00:00:00"/>
    <d v="2024-08-31T00:00:00"/>
    <x v="0"/>
  </r>
  <r>
    <s v="P026"/>
    <x v="1"/>
    <d v="2025-04-05T00:00:00"/>
    <x v="0"/>
    <s v="Explore the latest reel on Myntra! Trendy styles await."/>
    <n v="3009"/>
    <n v="413"/>
    <n v="358"/>
    <n v="42126"/>
    <n v="41309"/>
    <n v="211"/>
    <s v="#MyntraSale"/>
    <x v="1"/>
    <n v="8.9700000000000006"/>
    <d v="2024-06-10T00:00:00"/>
    <d v="2024-07-05T00:00:00"/>
    <x v="0"/>
  </r>
  <r>
    <s v="P027"/>
    <x v="1"/>
    <d v="2024-09-17T00:00:00"/>
    <x v="2"/>
    <s v="Explore the latest text on Myntra! Trendy styles await."/>
    <n v="2076"/>
    <n v="195"/>
    <n v="104"/>
    <n v="33216"/>
    <n v="32244"/>
    <n v="51"/>
    <s v="#MyntraTrend"/>
    <x v="3"/>
    <n v="7.15"/>
    <d v="2025-01-10T00:00:00"/>
    <d v="2025-02-10T00:00:00"/>
    <x v="2"/>
  </r>
  <r>
    <s v="P028"/>
    <x v="2"/>
    <d v="2025-03-04T00:00:00"/>
    <x v="5"/>
    <s v="Explore the latest video on Myntra! Trendy styles await."/>
    <n v="432"/>
    <n v="624"/>
    <n v="123"/>
    <n v="6912"/>
    <n v="6259"/>
    <n v="79"/>
    <s v="#MyntraSale,#MyntraTrend"/>
    <x v="1"/>
    <n v="17.059999999999999"/>
    <d v="2024-06-10T00:00:00"/>
    <d v="2024-07-05T00:00:00"/>
    <x v="0"/>
  </r>
  <r>
    <s v="P029"/>
    <x v="2"/>
    <d v="2025-01-31T00:00:00"/>
    <x v="3"/>
    <s v="Explore the latest carousel on Myntra! Trendy styles await."/>
    <n v="2566"/>
    <n v="118"/>
    <n v="37"/>
    <n v="12830"/>
    <n v="12264"/>
    <n v="221"/>
    <s v="#MyntraTrend,#MyntraFashion"/>
    <x v="2"/>
    <n v="21.21"/>
    <d v="2024-10-05T00:00:00"/>
    <d v="2024-11-05T00:00:00"/>
    <x v="0"/>
  </r>
  <r>
    <s v="P030"/>
    <x v="2"/>
    <d v="2025-02-25T00:00:00"/>
    <x v="5"/>
    <s v="Explore the latest video on Myntra! Trendy styles await."/>
    <n v="3095"/>
    <n v="39"/>
    <n v="78"/>
    <n v="55710"/>
    <n v="54808"/>
    <n v="93"/>
    <s v="#MyntraSale"/>
    <x v="3"/>
    <n v="5.77"/>
    <d v="2025-01-10T00:00:00"/>
    <d v="2025-02-10T00:00:00"/>
    <x v="0"/>
  </r>
  <r>
    <s v="P031"/>
    <x v="2"/>
    <d v="2024-12-16T00:00:00"/>
    <x v="2"/>
    <s v="Explore the latest text on Myntra! Trendy styles await."/>
    <n v="438"/>
    <n v="153"/>
    <n v="275"/>
    <n v="3066"/>
    <n v="2701"/>
    <n v="282"/>
    <s v="#MyntraTrend"/>
    <x v="3"/>
    <n v="28.25"/>
    <d v="2025-01-10T00:00:00"/>
    <d v="2025-02-10T00:00:00"/>
    <x v="2"/>
  </r>
  <r>
    <s v="P032"/>
    <x v="0"/>
    <d v="2024-07-31T00:00:00"/>
    <x v="3"/>
    <s v="Explore the latest carousel on Myntra! Trendy styles await."/>
    <n v="2278"/>
    <n v="10"/>
    <n v="321"/>
    <n v="13668"/>
    <n v="12676"/>
    <n v="275"/>
    <s v="#MyntraTrend,#MyntraFashion"/>
    <x v="3"/>
    <n v="19.09"/>
    <d v="2025-01-10T00:00:00"/>
    <d v="2025-02-10T00:00:00"/>
    <x v="2"/>
  </r>
  <r>
    <s v="P033"/>
    <x v="3"/>
    <d v="2024-08-21T00:00:00"/>
    <x v="4"/>
    <s v="Explore the latest image on Myntra! Trendy styles await."/>
    <n v="1407"/>
    <n v="400"/>
    <n v="351"/>
    <n v="16884"/>
    <n v="15954"/>
    <n v="113"/>
    <s v="#MyntraFashion,#FashionDeals"/>
    <x v="2"/>
    <n v="12.78"/>
    <d v="2024-10-05T00:00:00"/>
    <d v="2024-11-05T00:00:00"/>
    <x v="2"/>
  </r>
  <r>
    <s v="P034"/>
    <x v="3"/>
    <d v="2025-03-26T00:00:00"/>
    <x v="2"/>
    <s v="Explore the latest text on Myntra! Trendy styles await."/>
    <n v="1652"/>
    <n v="89"/>
    <n v="357"/>
    <n v="29736"/>
    <n v="28771"/>
    <n v="215"/>
    <s v="#MyntraTrend,#FashionDeals"/>
    <x v="1"/>
    <n v="7.06"/>
    <d v="2024-06-10T00:00:00"/>
    <d v="2024-07-05T00:00:00"/>
    <x v="0"/>
  </r>
  <r>
    <s v="P035"/>
    <x v="2"/>
    <d v="2024-11-30T00:00:00"/>
    <x v="5"/>
    <s v="Explore the latest video on Myntra! Trendy styles await."/>
    <n v="3775"/>
    <n v="16"/>
    <n v="239"/>
    <n v="33975"/>
    <n v="33310"/>
    <n v="271"/>
    <s v="#StyleWithMyntra,#MyntraSale"/>
    <x v="2"/>
    <n v="11.86"/>
    <d v="2024-10-05T00:00:00"/>
    <d v="2024-11-05T00:00:00"/>
    <x v="0"/>
  </r>
  <r>
    <s v="P036"/>
    <x v="2"/>
    <d v="2025-04-19T00:00:00"/>
    <x v="1"/>
    <s v="Explore the latest story on Myntra! Trendy styles await."/>
    <n v="4518"/>
    <n v="285"/>
    <n v="383"/>
    <n v="67770"/>
    <n v="67621"/>
    <n v="31"/>
    <s v="#FashionDeals"/>
    <x v="1"/>
    <n v="7.65"/>
    <d v="2024-06-10T00:00:00"/>
    <d v="2024-07-05T00:00:00"/>
    <x v="0"/>
  </r>
  <r>
    <s v="P037"/>
    <x v="3"/>
    <d v="2025-01-06T00:00:00"/>
    <x v="3"/>
    <s v="Explore the latest carousel on Myntra! Trendy styles await."/>
    <n v="3024"/>
    <n v="925"/>
    <n v="350"/>
    <n v="24192"/>
    <n v="23518"/>
    <n v="36"/>
    <s v="#MyntraSale"/>
    <x v="2"/>
    <n v="17.77"/>
    <d v="2024-10-05T00:00:00"/>
    <d v="2024-11-05T00:00:00"/>
    <x v="0"/>
  </r>
  <r>
    <s v="P038"/>
    <x v="1"/>
    <d v="2025-02-17T00:00:00"/>
    <x v="0"/>
    <s v="Explore the latest reel on Myntra! Trendy styles await."/>
    <n v="3138"/>
    <n v="123"/>
    <n v="291"/>
    <n v="28242"/>
    <n v="27550"/>
    <n v="87"/>
    <s v="#FashionDeals"/>
    <x v="3"/>
    <n v="12.58"/>
    <d v="2025-01-10T00:00:00"/>
    <d v="2025-02-10T00:00:00"/>
    <x v="0"/>
  </r>
  <r>
    <s v="P039"/>
    <x v="3"/>
    <d v="2024-11-25T00:00:00"/>
    <x v="4"/>
    <s v="Explore the latest image on Myntra! Trendy styles await."/>
    <n v="3564"/>
    <n v="629"/>
    <n v="177"/>
    <n v="60588"/>
    <n v="59627"/>
    <n v="92"/>
    <s v="#FashionDeals,#MyntraSale"/>
    <x v="2"/>
    <n v="7.21"/>
    <d v="2024-10-05T00:00:00"/>
    <d v="2024-11-05T00:00:00"/>
    <x v="0"/>
  </r>
  <r>
    <s v="P040"/>
    <x v="0"/>
    <d v="2025-03-07T00:00:00"/>
    <x v="4"/>
    <s v="Explore the latest image on Myntra! Trendy styles await."/>
    <n v="4750"/>
    <n v="151"/>
    <n v="415"/>
    <n v="38000"/>
    <n v="37792"/>
    <n v="299"/>
    <s v="#StyleWithMyntra,#MyntraSale"/>
    <x v="1"/>
    <n v="13.99"/>
    <d v="2024-06-10T00:00:00"/>
    <d v="2024-07-05T00:00:00"/>
    <x v="0"/>
  </r>
  <r>
    <s v="P041"/>
    <x v="2"/>
    <d v="2025-03-08T00:00:00"/>
    <x v="0"/>
    <s v="Explore the latest reel on Myntra! Trendy styles await."/>
    <n v="456"/>
    <n v="629"/>
    <n v="428"/>
    <n v="8208"/>
    <n v="7377"/>
    <n v="205"/>
    <s v="#MyntraSale,#FashionDeals"/>
    <x v="2"/>
    <n v="18.43"/>
    <d v="2024-10-05T00:00:00"/>
    <d v="2024-11-05T00:00:00"/>
    <x v="0"/>
  </r>
  <r>
    <s v="P042"/>
    <x v="1"/>
    <d v="2025-03-05T00:00:00"/>
    <x v="0"/>
    <s v="Explore the latest reel on Myntra! Trendy styles await."/>
    <n v="1543"/>
    <n v="820"/>
    <n v="333"/>
    <n v="12344"/>
    <n v="11496"/>
    <n v="241"/>
    <s v="#StyleWithMyntra"/>
    <x v="2"/>
    <n v="21.84"/>
    <d v="2024-10-05T00:00:00"/>
    <d v="2024-11-05T00:00:00"/>
    <x v="0"/>
  </r>
  <r>
    <s v="P043"/>
    <x v="2"/>
    <d v="2024-12-14T00:00:00"/>
    <x v="3"/>
    <s v="Explore the latest carousel on Myntra! Trendy styles await."/>
    <n v="2174"/>
    <n v="658"/>
    <n v="15"/>
    <n v="13044"/>
    <n v="12206"/>
    <n v="137"/>
    <s v="#MyntraSale,#MyntraFashion"/>
    <x v="3"/>
    <n v="21.83"/>
    <d v="2025-01-10T00:00:00"/>
    <d v="2025-02-10T00:00:00"/>
    <x v="2"/>
  </r>
  <r>
    <s v="P044"/>
    <x v="0"/>
    <d v="2025-03-02T00:00:00"/>
    <x v="4"/>
    <s v="Explore the latest image on Myntra! Trendy styles await."/>
    <n v="2358"/>
    <n v="784"/>
    <n v="344"/>
    <n v="35370"/>
    <n v="34475"/>
    <n v="216"/>
    <s v="#MyntraSale,#StyleWithMyntra"/>
    <x v="0"/>
    <n v="9.86"/>
    <d v="2024-08-01T00:00:00"/>
    <d v="2024-08-31T00:00:00"/>
    <x v="0"/>
  </r>
  <r>
    <s v="P045"/>
    <x v="3"/>
    <d v="2024-11-01T00:00:00"/>
    <x v="5"/>
    <s v="Explore the latest video on Myntra! Trendy styles await."/>
    <n v="3371"/>
    <n v="106"/>
    <n v="327"/>
    <n v="50565"/>
    <n v="49816"/>
    <n v="176"/>
    <s v="#FashionDeals"/>
    <x v="3"/>
    <n v="7.52"/>
    <d v="2025-01-10T00:00:00"/>
    <d v="2025-02-10T00:00:00"/>
    <x v="2"/>
  </r>
  <r>
    <s v="P046"/>
    <x v="0"/>
    <d v="2025-05-02T00:00:00"/>
    <x v="5"/>
    <s v="Explore the latest video on Myntra! Trendy styles await."/>
    <n v="1108"/>
    <n v="177"/>
    <n v="212"/>
    <n v="8864"/>
    <n v="8710"/>
    <n v="97"/>
    <s v="#MyntraFashion"/>
    <x v="3"/>
    <n v="16.89"/>
    <d v="2025-01-10T00:00:00"/>
    <d v="2025-02-10T00:00:00"/>
    <x v="0"/>
  </r>
  <r>
    <s v="P047"/>
    <x v="0"/>
    <d v="2025-02-24T00:00:00"/>
    <x v="3"/>
    <s v="Explore the latest carousel on Myntra! Trendy styles await."/>
    <n v="2704"/>
    <n v="752"/>
    <n v="153"/>
    <n v="21632"/>
    <n v="20792"/>
    <n v="127"/>
    <s v="#FashionDeals,#MyntraFashion"/>
    <x v="0"/>
    <n v="16.68"/>
    <d v="2024-08-01T00:00:00"/>
    <d v="2024-08-31T00:00:00"/>
    <x v="0"/>
  </r>
  <r>
    <s v="P048"/>
    <x v="0"/>
    <d v="2025-03-11T00:00:00"/>
    <x v="1"/>
    <s v="Explore the latest story on Myntra! Trendy styles await."/>
    <n v="1950"/>
    <n v="295"/>
    <n v="478"/>
    <n v="37050"/>
    <n v="36272"/>
    <n v="119"/>
    <s v="#MyntraFashion,#StyleWithMyntra"/>
    <x v="3"/>
    <n v="7.35"/>
    <d v="2025-01-10T00:00:00"/>
    <d v="2025-02-10T00:00:00"/>
    <x v="0"/>
  </r>
  <r>
    <s v="P049"/>
    <x v="0"/>
    <d v="2024-06-10T00:00:00"/>
    <x v="1"/>
    <s v="Explore the latest story on Myntra! Trendy styles await."/>
    <n v="2164"/>
    <n v="549"/>
    <n v="274"/>
    <n v="28132"/>
    <n v="27361"/>
    <n v="177"/>
    <s v="#StyleWithMyntra"/>
    <x v="0"/>
    <n v="10.62"/>
    <d v="2024-08-01T00:00:00"/>
    <d v="2024-08-31T00:00:00"/>
    <x v="2"/>
  </r>
  <r>
    <s v="P050"/>
    <x v="1"/>
    <d v="2024-07-03T00:00:00"/>
    <x v="1"/>
    <s v="Explore the latest story on Myntra! Trendy styles await."/>
    <n v="2754"/>
    <n v="130"/>
    <n v="90"/>
    <n v="22032"/>
    <n v="21288"/>
    <n v="112"/>
    <s v="#MyntraFashion"/>
    <x v="0"/>
    <n v="13.5"/>
    <d v="2024-08-01T00:00:00"/>
    <d v="2024-08-31T00:00:00"/>
    <x v="2"/>
  </r>
  <r>
    <s v="P051"/>
    <x v="3"/>
    <d v="2024-06-13T00:00:00"/>
    <x v="3"/>
    <s v="Explore the latest carousel on Myntra! Trendy styles await."/>
    <n v="2200"/>
    <n v="504"/>
    <n v="239"/>
    <n v="37400"/>
    <n v="36938"/>
    <n v="225"/>
    <s v="#MyntraSale"/>
    <x v="2"/>
    <n v="7.87"/>
    <d v="2024-10-05T00:00:00"/>
    <d v="2024-11-05T00:00:00"/>
    <x v="2"/>
  </r>
  <r>
    <s v="P052"/>
    <x v="3"/>
    <d v="2025-01-03T00:00:00"/>
    <x v="4"/>
    <s v="Explore the latest image on Myntra! Trendy styles await."/>
    <n v="947"/>
    <n v="338"/>
    <n v="350"/>
    <n v="10417"/>
    <n v="9730"/>
    <n v="34"/>
    <s v="#MyntraFashion,#MyntraSale"/>
    <x v="2"/>
    <n v="15.7"/>
    <d v="2024-10-05T00:00:00"/>
    <d v="2024-11-05T00:00:00"/>
    <x v="0"/>
  </r>
  <r>
    <s v="P053"/>
    <x v="1"/>
    <d v="2025-02-24T00:00:00"/>
    <x v="3"/>
    <s v="Explore the latest carousel on Myntra! Trendy styles await."/>
    <n v="804"/>
    <n v="639"/>
    <n v="43"/>
    <n v="4020"/>
    <n v="3144"/>
    <n v="11"/>
    <s v="#StyleWithMyntra,#MyntraTrend"/>
    <x v="3"/>
    <n v="36.97"/>
    <d v="2025-01-10T00:00:00"/>
    <d v="2025-02-10T00:00:00"/>
    <x v="0"/>
  </r>
  <r>
    <s v="P054"/>
    <x v="1"/>
    <d v="2025-03-13T00:00:00"/>
    <x v="3"/>
    <s v="Explore the latest carousel on Myntra! Trendy styles await."/>
    <n v="1686"/>
    <n v="904"/>
    <n v="472"/>
    <n v="18546"/>
    <n v="18171"/>
    <n v="52"/>
    <s v="#MyntraFashion,#FashionDeals"/>
    <x v="1"/>
    <n v="16.510000000000002"/>
    <d v="2024-06-10T00:00:00"/>
    <d v="2024-07-05T00:00:00"/>
    <x v="0"/>
  </r>
  <r>
    <s v="P055"/>
    <x v="3"/>
    <d v="2024-06-17T00:00:00"/>
    <x v="4"/>
    <s v="Explore the latest image on Myntra! Trendy styles await."/>
    <n v="1226"/>
    <n v="119"/>
    <n v="7"/>
    <n v="14712"/>
    <n v="14049"/>
    <n v="123"/>
    <s v="#MyntraSale,#MyntraTrend"/>
    <x v="3"/>
    <n v="9.19"/>
    <d v="2025-01-10T00:00:00"/>
    <d v="2025-02-10T00:00:00"/>
    <x v="2"/>
  </r>
  <r>
    <s v="P056"/>
    <x v="3"/>
    <d v="2024-12-18T00:00:00"/>
    <x v="3"/>
    <s v="Explore the latest carousel on Myntra! Trendy styles await."/>
    <n v="2946"/>
    <n v="498"/>
    <n v="367"/>
    <n v="29460"/>
    <n v="28527"/>
    <n v="60"/>
    <s v="#StyleWithMyntra,#FashionDeals"/>
    <x v="1"/>
    <n v="12.94"/>
    <d v="2024-06-10T00:00:00"/>
    <d v="2024-07-05T00:00:00"/>
    <x v="0"/>
  </r>
  <r>
    <s v="P057"/>
    <x v="0"/>
    <d v="2024-10-21T00:00:00"/>
    <x v="5"/>
    <s v="Explore the latest video on Myntra! Trendy styles await."/>
    <n v="2825"/>
    <n v="535"/>
    <n v="295"/>
    <n v="45200"/>
    <n v="44739"/>
    <n v="169"/>
    <s v="#StyleWithMyntra"/>
    <x v="1"/>
    <n v="8.09"/>
    <d v="2024-06-10T00:00:00"/>
    <d v="2024-07-05T00:00:00"/>
    <x v="0"/>
  </r>
  <r>
    <s v="P058"/>
    <x v="2"/>
    <d v="2025-04-15T00:00:00"/>
    <x v="0"/>
    <s v="Explore the latest reel on Myntra! Trendy styles await."/>
    <n v="103"/>
    <n v="770"/>
    <n v="19"/>
    <n v="1030"/>
    <n v="410"/>
    <n v="262"/>
    <s v="#MyntraSale"/>
    <x v="2"/>
    <n v="86.6"/>
    <d v="2024-10-05T00:00:00"/>
    <d v="2024-11-05T00:00:00"/>
    <x v="0"/>
  </r>
  <r>
    <s v="P059"/>
    <x v="2"/>
    <d v="2024-06-22T00:00:00"/>
    <x v="2"/>
    <s v="Explore the latest text on Myntra! Trendy styles await."/>
    <n v="2180"/>
    <n v="263"/>
    <n v="387"/>
    <n v="30520"/>
    <n v="30059"/>
    <n v="174"/>
    <s v="#FashionDeals"/>
    <x v="0"/>
    <n v="9.27"/>
    <d v="2024-08-01T00:00:00"/>
    <d v="2024-08-31T00:00:00"/>
    <x v="2"/>
  </r>
  <r>
    <s v="P060"/>
    <x v="2"/>
    <d v="2025-01-28T00:00:00"/>
    <x v="5"/>
    <s v="Explore the latest video on Myntra! Trendy styles await."/>
    <n v="904"/>
    <n v="973"/>
    <n v="63"/>
    <n v="11752"/>
    <n v="11580"/>
    <n v="84"/>
    <s v="#StyleWithMyntra"/>
    <x v="0"/>
    <n v="16.510000000000002"/>
    <d v="2024-08-01T00:00:00"/>
    <d v="2024-08-31T00:00:00"/>
    <x v="0"/>
  </r>
  <r>
    <s v="P061"/>
    <x v="0"/>
    <d v="2024-09-05T00:00:00"/>
    <x v="5"/>
    <s v="Explore the latest video on Myntra! Trendy styles await."/>
    <n v="4886"/>
    <n v="983"/>
    <n v="409"/>
    <n v="43974"/>
    <n v="43239"/>
    <n v="65"/>
    <s v="#MyntraFashion"/>
    <x v="0"/>
    <n v="14.28"/>
    <d v="2024-08-01T00:00:00"/>
    <d v="2024-08-31T00:00:00"/>
    <x v="0"/>
  </r>
  <r>
    <s v="P062"/>
    <x v="0"/>
    <d v="2024-11-22T00:00:00"/>
    <x v="3"/>
    <s v="Explore the latest carousel on Myntra! Trendy styles await."/>
    <n v="53"/>
    <n v="81"/>
    <n v="379"/>
    <n v="954"/>
    <n v="7"/>
    <n v="148"/>
    <s v="#FashionDeals"/>
    <x v="2"/>
    <n v="53.77"/>
    <d v="2024-10-05T00:00:00"/>
    <d v="2024-11-05T00:00:00"/>
    <x v="0"/>
  </r>
  <r>
    <s v="P063"/>
    <x v="0"/>
    <d v="2024-07-31T00:00:00"/>
    <x v="3"/>
    <s v="Explore the latest carousel on Myntra! Trendy styles await."/>
    <n v="4507"/>
    <n v="217"/>
    <n v="13"/>
    <n v="90140"/>
    <n v="89591"/>
    <n v="125"/>
    <s v="#MyntraSale"/>
    <x v="0"/>
    <n v="5.26"/>
    <d v="2024-08-01T00:00:00"/>
    <d v="2024-08-31T00:00:00"/>
    <x v="2"/>
  </r>
  <r>
    <s v="P064"/>
    <x v="3"/>
    <d v="2024-08-17T00:00:00"/>
    <x v="4"/>
    <s v="Explore the latest image on Myntra! Trendy styles await."/>
    <n v="2878"/>
    <n v="248"/>
    <n v="416"/>
    <n v="43170"/>
    <n v="42667"/>
    <n v="75"/>
    <s v="#FashionDeals,#MyntraTrend"/>
    <x v="1"/>
    <n v="8.1999999999999993"/>
    <d v="2024-06-10T00:00:00"/>
    <d v="2024-07-05T00:00:00"/>
    <x v="0"/>
  </r>
  <r>
    <s v="P065"/>
    <x v="2"/>
    <d v="2025-03-28T00:00:00"/>
    <x v="1"/>
    <s v="Explore the latest story on Myntra! Trendy styles await."/>
    <n v="1881"/>
    <n v="501"/>
    <n v="99"/>
    <n v="20691"/>
    <n v="19987"/>
    <n v="289"/>
    <s v="#FashionDeals"/>
    <x v="1"/>
    <n v="11.99"/>
    <d v="2024-06-10T00:00:00"/>
    <d v="2024-07-05T00:00:00"/>
    <x v="0"/>
  </r>
  <r>
    <s v="P066"/>
    <x v="0"/>
    <d v="2024-07-26T00:00:00"/>
    <x v="3"/>
    <s v="Explore the latest carousel on Myntra! Trendy styles await."/>
    <n v="432"/>
    <n v="171"/>
    <n v="280"/>
    <n v="3024"/>
    <n v="2285"/>
    <n v="184"/>
    <s v="#MyntraFashion"/>
    <x v="2"/>
    <n v="29.2"/>
    <d v="2024-10-05T00:00:00"/>
    <d v="2024-11-05T00:00:00"/>
    <x v="2"/>
  </r>
  <r>
    <s v="P067"/>
    <x v="3"/>
    <d v="2025-03-29T00:00:00"/>
    <x v="3"/>
    <s v="Explore the latest carousel on Myntra! Trendy styles await."/>
    <n v="4712"/>
    <n v="568"/>
    <n v="127"/>
    <n v="84816"/>
    <n v="84691"/>
    <n v="100"/>
    <s v="#FashionDeals"/>
    <x v="0"/>
    <n v="6.37"/>
    <d v="2024-08-01T00:00:00"/>
    <d v="2024-08-31T00:00:00"/>
    <x v="0"/>
  </r>
  <r>
    <s v="P068"/>
    <x v="2"/>
    <d v="2024-12-08T00:00:00"/>
    <x v="1"/>
    <s v="Explore the latest story on Myntra! Trendy styles await."/>
    <n v="2610"/>
    <n v="126"/>
    <n v="288"/>
    <n v="15660"/>
    <n v="15145"/>
    <n v="73"/>
    <s v="#MyntraFashion"/>
    <x v="0"/>
    <n v="19.309999999999999"/>
    <d v="2024-08-01T00:00:00"/>
    <d v="2024-08-31T00:00:00"/>
    <x v="0"/>
  </r>
  <r>
    <s v="P069"/>
    <x v="0"/>
    <d v="2025-03-08T00:00:00"/>
    <x v="2"/>
    <s v="Explore the latest text on Myntra! Trendy styles await."/>
    <n v="1292"/>
    <n v="626"/>
    <n v="496"/>
    <n v="25840"/>
    <n v="24916"/>
    <n v="149"/>
    <s v="#StyleWithMyntra,#MyntraTrend"/>
    <x v="3"/>
    <n v="9.34"/>
    <d v="2025-01-10T00:00:00"/>
    <d v="2025-02-10T00:00:00"/>
    <x v="0"/>
  </r>
  <r>
    <s v="P070"/>
    <x v="3"/>
    <d v="2025-04-02T00:00:00"/>
    <x v="5"/>
    <s v="Explore the latest video on Myntra! Trendy styles await."/>
    <n v="199"/>
    <n v="772"/>
    <n v="400"/>
    <n v="3582"/>
    <n v="2988"/>
    <n v="43"/>
    <s v="#MyntraTrend"/>
    <x v="0"/>
    <n v="38.270000000000003"/>
    <d v="2024-08-01T00:00:00"/>
    <d v="2024-08-31T00:00:00"/>
    <x v="0"/>
  </r>
  <r>
    <s v="P071"/>
    <x v="1"/>
    <d v="2024-09-02T00:00:00"/>
    <x v="3"/>
    <s v="Explore the latest carousel on Myntra! Trendy styles await."/>
    <n v="2551"/>
    <n v="915"/>
    <n v="205"/>
    <n v="30612"/>
    <n v="30360"/>
    <n v="227"/>
    <s v="#MyntraSale,#FashionDeals"/>
    <x v="1"/>
    <n v="11.99"/>
    <d v="2024-06-10T00:00:00"/>
    <d v="2024-07-05T00:00:00"/>
    <x v="0"/>
  </r>
  <r>
    <s v="P072"/>
    <x v="1"/>
    <d v="2025-03-03T00:00:00"/>
    <x v="0"/>
    <s v="Explore the latest reel on Myntra! Trendy styles await."/>
    <n v="296"/>
    <n v="60"/>
    <n v="141"/>
    <n v="5624"/>
    <n v="5239"/>
    <n v="88"/>
    <s v="#MyntraTrend"/>
    <x v="3"/>
    <n v="8.84"/>
    <d v="2025-01-10T00:00:00"/>
    <d v="2025-02-10T00:00:00"/>
    <x v="0"/>
  </r>
  <r>
    <s v="P073"/>
    <x v="3"/>
    <d v="2024-10-18T00:00:00"/>
    <x v="1"/>
    <s v="Explore the latest story on Myntra! Trendy styles await."/>
    <n v="4126"/>
    <n v="426"/>
    <n v="486"/>
    <n v="78394"/>
    <n v="77798"/>
    <n v="88"/>
    <s v="#MyntraFashion"/>
    <x v="0"/>
    <n v="6.43"/>
    <d v="2024-08-01T00:00:00"/>
    <d v="2024-08-31T00:00:00"/>
    <x v="0"/>
  </r>
  <r>
    <s v="P074"/>
    <x v="1"/>
    <d v="2024-10-28T00:00:00"/>
    <x v="0"/>
    <s v="Explore the latest reel on Myntra! Trendy styles await."/>
    <n v="1855"/>
    <n v="200"/>
    <n v="174"/>
    <n v="16695"/>
    <n v="16330"/>
    <n v="123"/>
    <s v="#MyntraFashion"/>
    <x v="2"/>
    <n v="13.35"/>
    <d v="2024-10-05T00:00:00"/>
    <d v="2024-11-05T00:00:00"/>
    <x v="1"/>
  </r>
  <r>
    <s v="P075"/>
    <x v="2"/>
    <d v="2024-08-01T00:00:00"/>
    <x v="0"/>
    <s v="Explore the latest reel on Myntra! Trendy styles await."/>
    <n v="1674"/>
    <n v="929"/>
    <n v="37"/>
    <n v="21762"/>
    <n v="20998"/>
    <n v="255"/>
    <s v="#StyleWithMyntra,#FashionDeals"/>
    <x v="2"/>
    <n v="12.13"/>
    <d v="2024-10-05T00:00:00"/>
    <d v="2024-11-05T00:00:00"/>
    <x v="2"/>
  </r>
  <r>
    <s v="P076"/>
    <x v="0"/>
    <d v="2024-11-07T00:00:00"/>
    <x v="1"/>
    <s v="Explore the latest story on Myntra! Trendy styles await."/>
    <n v="1121"/>
    <n v="135"/>
    <n v="18"/>
    <n v="15694"/>
    <n v="14957"/>
    <n v="99"/>
    <s v="#MyntraSale,#MyntraFashion"/>
    <x v="3"/>
    <n v="8.1199999999999992"/>
    <d v="2025-01-10T00:00:00"/>
    <d v="2025-02-10T00:00:00"/>
    <x v="2"/>
  </r>
  <r>
    <s v="P077"/>
    <x v="3"/>
    <d v="2025-03-04T00:00:00"/>
    <x v="1"/>
    <s v="Explore the latest story on Myntra! Trendy styles await."/>
    <n v="1249"/>
    <n v="116"/>
    <n v="420"/>
    <n v="8743"/>
    <n v="8538"/>
    <n v="63"/>
    <s v="#MyntraFashion,#FashionDeals"/>
    <x v="2"/>
    <n v="20.420000000000002"/>
    <d v="2024-10-05T00:00:00"/>
    <d v="2024-11-05T00:00:00"/>
    <x v="0"/>
  </r>
  <r>
    <s v="P078"/>
    <x v="0"/>
    <d v="2024-06-17T00:00:00"/>
    <x v="4"/>
    <s v="Explore the latest image on Myntra! Trendy styles await."/>
    <n v="954"/>
    <n v="324"/>
    <n v="288"/>
    <n v="19080"/>
    <n v="18859"/>
    <n v="21"/>
    <s v="#MyntraTrend"/>
    <x v="2"/>
    <n v="8.2100000000000009"/>
    <d v="2024-10-05T00:00:00"/>
    <d v="2024-11-05T00:00:00"/>
    <x v="2"/>
  </r>
  <r>
    <s v="P079"/>
    <x v="2"/>
    <d v="2024-10-09T00:00:00"/>
    <x v="3"/>
    <s v="Explore the latest carousel on Myntra! Trendy styles await."/>
    <n v="3068"/>
    <n v="137"/>
    <n v="329"/>
    <n v="39884"/>
    <n v="39404"/>
    <n v="266"/>
    <s v="#MyntraSale,#MyntraTrend"/>
    <x v="2"/>
    <n v="8.86"/>
    <d v="2024-10-05T00:00:00"/>
    <d v="2024-11-05T00:00:00"/>
    <x v="1"/>
  </r>
  <r>
    <s v="P080"/>
    <x v="2"/>
    <d v="2024-06-13T00:00:00"/>
    <x v="1"/>
    <s v="Explore the latest story on Myntra! Trendy styles await."/>
    <n v="2103"/>
    <n v="892"/>
    <n v="103"/>
    <n v="39957"/>
    <n v="39466"/>
    <n v="28"/>
    <s v="#FashionDeals,#MyntraFashion"/>
    <x v="1"/>
    <n v="7.75"/>
    <d v="2024-06-10T00:00:00"/>
    <d v="2024-07-05T00:00:00"/>
    <x v="1"/>
  </r>
  <r>
    <s v="P081"/>
    <x v="2"/>
    <d v="2024-10-19T00:00:00"/>
    <x v="1"/>
    <s v="Explore the latest story on Myntra! Trendy styles await."/>
    <n v="1816"/>
    <n v="29"/>
    <n v="41"/>
    <n v="19976"/>
    <n v="19262"/>
    <n v="283"/>
    <s v="#MyntraTrend,#MyntraSale"/>
    <x v="2"/>
    <n v="9.44"/>
    <d v="2024-10-05T00:00:00"/>
    <d v="2024-11-05T00:00:00"/>
    <x v="1"/>
  </r>
  <r>
    <s v="P082"/>
    <x v="2"/>
    <d v="2024-07-24T00:00:00"/>
    <x v="4"/>
    <s v="Explore the latest image on Myntra! Trendy styles await."/>
    <n v="725"/>
    <n v="88"/>
    <n v="428"/>
    <n v="14500"/>
    <n v="13637"/>
    <n v="200"/>
    <s v="#MyntraTrend"/>
    <x v="2"/>
    <n v="8.56"/>
    <d v="2024-10-05T00:00:00"/>
    <d v="2024-11-05T00:00:00"/>
    <x v="2"/>
  </r>
  <r>
    <s v="P083"/>
    <x v="1"/>
    <d v="2024-10-15T00:00:00"/>
    <x v="5"/>
    <s v="Explore the latest video on Myntra! Trendy styles await."/>
    <n v="1094"/>
    <n v="472"/>
    <n v="21"/>
    <n v="9846"/>
    <n v="9609"/>
    <n v="112"/>
    <s v="#MyntraTrend,#StyleWithMyntra"/>
    <x v="2"/>
    <n v="16.12"/>
    <d v="2024-10-05T00:00:00"/>
    <d v="2024-11-05T00:00:00"/>
    <x v="1"/>
  </r>
  <r>
    <s v="P084"/>
    <x v="3"/>
    <d v="2024-12-09T00:00:00"/>
    <x v="4"/>
    <s v="Explore the latest image on Myntra! Trendy styles await."/>
    <n v="1841"/>
    <n v="851"/>
    <n v="342"/>
    <n v="34979"/>
    <n v="34154"/>
    <n v="255"/>
    <s v="#MyntraFashion,#FashionDeals"/>
    <x v="0"/>
    <n v="8.67"/>
    <d v="2024-08-01T00:00:00"/>
    <d v="2024-08-31T00:00:00"/>
    <x v="0"/>
  </r>
  <r>
    <s v="P085"/>
    <x v="2"/>
    <d v="2025-04-19T00:00:00"/>
    <x v="4"/>
    <s v="Explore the latest image on Myntra! Trendy styles await."/>
    <n v="4177"/>
    <n v="569"/>
    <n v="55"/>
    <n v="25062"/>
    <n v="24847"/>
    <n v="230"/>
    <s v="#MyntraFashion"/>
    <x v="0"/>
    <n v="19.16"/>
    <d v="2024-08-01T00:00:00"/>
    <d v="2024-08-31T00:00:00"/>
    <x v="0"/>
  </r>
  <r>
    <s v="P086"/>
    <x v="1"/>
    <d v="2025-01-27T00:00:00"/>
    <x v="2"/>
    <s v="Explore the latest text on Myntra! Trendy styles await."/>
    <n v="3428"/>
    <n v="305"/>
    <n v="85"/>
    <n v="58276"/>
    <n v="58052"/>
    <n v="242"/>
    <s v="#MyntraTrend,#StyleWithMyntra"/>
    <x v="2"/>
    <n v="6.55"/>
    <d v="2024-10-05T00:00:00"/>
    <d v="2024-11-05T00:00:00"/>
    <x v="0"/>
  </r>
  <r>
    <s v="P087"/>
    <x v="0"/>
    <d v="2024-06-06T00:00:00"/>
    <x v="5"/>
    <s v="Explore the latest video on Myntra! Trendy styles await."/>
    <n v="1436"/>
    <n v="765"/>
    <n v="496"/>
    <n v="12924"/>
    <n v="12701"/>
    <n v="197"/>
    <s v="#MyntraTrend,#MyntraSale"/>
    <x v="1"/>
    <n v="20.87"/>
    <d v="2024-06-10T00:00:00"/>
    <d v="2024-07-05T00:00:00"/>
    <x v="2"/>
  </r>
  <r>
    <s v="P088"/>
    <x v="3"/>
    <d v="2024-07-07T00:00:00"/>
    <x v="1"/>
    <s v="Explore the latest story on Myntra! Trendy styles await."/>
    <n v="302"/>
    <n v="47"/>
    <n v="430"/>
    <n v="5738"/>
    <n v="4890"/>
    <n v="25"/>
    <s v="#MyntraFashion,#MyntraSale"/>
    <x v="1"/>
    <n v="13.58"/>
    <d v="2024-06-10T00:00:00"/>
    <d v="2024-07-05T00:00:00"/>
    <x v="0"/>
  </r>
  <r>
    <s v="P089"/>
    <x v="0"/>
    <d v="2025-01-10T00:00:00"/>
    <x v="4"/>
    <s v="Explore the latest image on Myntra! Trendy styles await."/>
    <n v="2214"/>
    <n v="249"/>
    <n v="152"/>
    <n v="15498"/>
    <n v="14800"/>
    <n v="180"/>
    <s v="#MyntraSale"/>
    <x v="1"/>
    <n v="16.87"/>
    <d v="2024-06-10T00:00:00"/>
    <d v="2024-07-05T00:00:00"/>
    <x v="0"/>
  </r>
  <r>
    <s v="P090"/>
    <x v="2"/>
    <d v="2024-06-03T00:00:00"/>
    <x v="4"/>
    <s v="Explore the latest image on Myntra! Trendy styles await."/>
    <n v="3861"/>
    <n v="960"/>
    <n v="101"/>
    <n v="69498"/>
    <n v="68817"/>
    <n v="297"/>
    <s v="#MyntraFashion"/>
    <x v="1"/>
    <n v="7.08"/>
    <d v="2024-06-10T00:00:00"/>
    <d v="2024-07-05T00:00:00"/>
    <x v="2"/>
  </r>
  <r>
    <s v="P091"/>
    <x v="3"/>
    <d v="2025-03-24T00:00:00"/>
    <x v="4"/>
    <s v="Explore the latest image on Myntra! Trendy styles await."/>
    <n v="1263"/>
    <n v="397"/>
    <n v="357"/>
    <n v="25260"/>
    <n v="24615"/>
    <n v="137"/>
    <s v="#MyntraSale"/>
    <x v="1"/>
    <n v="7.98"/>
    <d v="2024-06-10T00:00:00"/>
    <d v="2024-07-05T00:00:00"/>
    <x v="0"/>
  </r>
  <r>
    <s v="P092"/>
    <x v="0"/>
    <d v="2024-10-21T00:00:00"/>
    <x v="1"/>
    <s v="Explore the latest story on Myntra! Trendy styles await."/>
    <n v="3801"/>
    <n v="967"/>
    <n v="401"/>
    <n v="38010"/>
    <n v="37625"/>
    <n v="236"/>
    <s v="#StyleWithMyntra"/>
    <x v="3"/>
    <n v="13.6"/>
    <d v="2025-01-10T00:00:00"/>
    <d v="2025-02-10T00:00:00"/>
    <x v="2"/>
  </r>
  <r>
    <s v="P093"/>
    <x v="2"/>
    <d v="2024-12-11T00:00:00"/>
    <x v="5"/>
    <s v="Explore the latest video on Myntra! Trendy styles await."/>
    <n v="1431"/>
    <n v="951"/>
    <n v="26"/>
    <n v="8586"/>
    <n v="8396"/>
    <n v="150"/>
    <s v="#MyntraTrend,#FashionDeals"/>
    <x v="0"/>
    <n v="28.05"/>
    <d v="2024-08-01T00:00:00"/>
    <d v="2024-08-31T00:00:00"/>
    <x v="0"/>
  </r>
  <r>
    <s v="P094"/>
    <x v="2"/>
    <d v="2024-11-07T00:00:00"/>
    <x v="4"/>
    <s v="Explore the latest image on Myntra! Trendy styles await."/>
    <n v="2647"/>
    <n v="304"/>
    <n v="170"/>
    <n v="18529"/>
    <n v="17841"/>
    <n v="46"/>
    <s v="#StyleWithMyntra"/>
    <x v="1"/>
    <n v="16.84"/>
    <d v="2024-06-10T00:00:00"/>
    <d v="2024-07-05T00:00:00"/>
    <x v="0"/>
  </r>
  <r>
    <s v="P095"/>
    <x v="2"/>
    <d v="2024-11-08T00:00:00"/>
    <x v="2"/>
    <s v="Explore the latest text on Myntra! Trendy styles await."/>
    <n v="3182"/>
    <n v="559"/>
    <n v="160"/>
    <n v="57276"/>
    <n v="56890"/>
    <n v="163"/>
    <s v="#StyleWithMyntra,#MyntraTrend"/>
    <x v="1"/>
    <n v="6.81"/>
    <d v="2024-06-10T00:00:00"/>
    <d v="2024-07-05T00:00:00"/>
    <x v="0"/>
  </r>
  <r>
    <s v="P096"/>
    <x v="0"/>
    <d v="2024-09-10T00:00:00"/>
    <x v="4"/>
    <s v="Explore the latest image on Myntra! Trendy styles await."/>
    <n v="1238"/>
    <n v="366"/>
    <n v="444"/>
    <n v="19808"/>
    <n v="19334"/>
    <n v="123"/>
    <s v="#FashionDeals"/>
    <x v="2"/>
    <n v="10.34"/>
    <d v="2024-10-05T00:00:00"/>
    <d v="2024-11-05T00:00:00"/>
    <x v="2"/>
  </r>
  <r>
    <s v="P097"/>
    <x v="2"/>
    <d v="2024-08-13T00:00:00"/>
    <x v="4"/>
    <s v="Explore the latest image on Myntra! Trendy styles await."/>
    <n v="4739"/>
    <n v="527"/>
    <n v="135"/>
    <n v="61607"/>
    <n v="61333"/>
    <n v="36"/>
    <s v="#StyleWithMyntra,#MyntraSale"/>
    <x v="1"/>
    <n v="8.77"/>
    <d v="2024-06-10T00:00:00"/>
    <d v="2024-07-05T00:00:00"/>
    <x v="0"/>
  </r>
  <r>
    <s v="P098"/>
    <x v="0"/>
    <d v="2024-06-10T00:00:00"/>
    <x v="1"/>
    <s v="Explore the latest story on Myntra! Trendy styles await."/>
    <n v="1575"/>
    <n v="771"/>
    <n v="486"/>
    <n v="25200"/>
    <n v="24826"/>
    <n v="17"/>
    <s v="#StyleWithMyntra"/>
    <x v="2"/>
    <n v="11.24"/>
    <d v="2024-10-05T00:00:00"/>
    <d v="2024-11-05T00:00:00"/>
    <x v="2"/>
  </r>
  <r>
    <s v="P099"/>
    <x v="1"/>
    <d v="2024-07-02T00:00:00"/>
    <x v="3"/>
    <s v="Explore the latest carousel on Myntra! Trendy styles await."/>
    <n v="4171"/>
    <n v="548"/>
    <n v="86"/>
    <n v="66736"/>
    <n v="66634"/>
    <n v="173"/>
    <s v="#StyleWithMyntra"/>
    <x v="2"/>
    <n v="7.2"/>
    <d v="2024-10-05T00:00:00"/>
    <d v="2024-11-05T00:00:00"/>
    <x v="2"/>
  </r>
  <r>
    <s v="P100"/>
    <x v="1"/>
    <d v="2025-02-10T00:00:00"/>
    <x v="5"/>
    <s v="Explore the latest video on Myntra! Trendy styles await."/>
    <n v="1766"/>
    <n v="92"/>
    <n v="424"/>
    <n v="24724"/>
    <n v="24333"/>
    <n v="52"/>
    <s v="#StyleWithMyntra"/>
    <x v="0"/>
    <n v="9.23"/>
    <d v="2024-08-01T00:00:00"/>
    <d v="2024-08-31T00:00:00"/>
    <x v="0"/>
  </r>
  <r>
    <s v="P101"/>
    <x v="1"/>
    <d v="2024-10-18T00:00:00"/>
    <x v="5"/>
    <s v="Explore the latest video on Myntra! Trendy styles await."/>
    <n v="4450"/>
    <n v="983"/>
    <n v="143"/>
    <n v="75650"/>
    <n v="75008"/>
    <n v="12"/>
    <s v="#MyntraSale,#StyleWithMyntra"/>
    <x v="1"/>
    <n v="7.37"/>
    <d v="2024-06-10T00:00:00"/>
    <d v="2024-07-05T00:00:00"/>
    <x v="0"/>
  </r>
  <r>
    <s v="P102"/>
    <x v="0"/>
    <d v="2024-09-18T00:00:00"/>
    <x v="0"/>
    <s v="Explore the latest reel on Myntra! Trendy styles await."/>
    <n v="1000"/>
    <n v="978"/>
    <n v="162"/>
    <n v="6000"/>
    <n v="5221"/>
    <n v="223"/>
    <s v="#MyntraTrend,#MyntraFashion"/>
    <x v="2"/>
    <n v="35.67"/>
    <d v="2024-10-05T00:00:00"/>
    <d v="2024-11-05T00:00:00"/>
    <x v="2"/>
  </r>
  <r>
    <s v="P103"/>
    <x v="3"/>
    <d v="2024-06-11T00:00:00"/>
    <x v="4"/>
    <s v="Explore the latest image on Myntra! Trendy styles await."/>
    <n v="3689"/>
    <n v="48"/>
    <n v="306"/>
    <n v="40579"/>
    <n v="39588"/>
    <n v="212"/>
    <s v="#MyntraTrend"/>
    <x v="0"/>
    <n v="9.9600000000000009"/>
    <d v="2024-08-01T00:00:00"/>
    <d v="2024-08-31T00:00:00"/>
    <x v="2"/>
  </r>
  <r>
    <s v="P104"/>
    <x v="1"/>
    <d v="2025-03-23T00:00:00"/>
    <x v="1"/>
    <s v="Explore the latest story on Myntra! Trendy styles await."/>
    <n v="3655"/>
    <n v="568"/>
    <n v="286"/>
    <n v="32895"/>
    <n v="32015"/>
    <n v="199"/>
    <s v="#MyntraTrend"/>
    <x v="3"/>
    <n v="13.71"/>
    <d v="2025-01-10T00:00:00"/>
    <d v="2025-02-10T00:00:00"/>
    <x v="0"/>
  </r>
  <r>
    <s v="P105"/>
    <x v="2"/>
    <d v="2024-06-14T00:00:00"/>
    <x v="3"/>
    <s v="Explore the latest carousel on Myntra! Trendy styles await."/>
    <n v="498"/>
    <n v="38"/>
    <n v="42"/>
    <n v="4482"/>
    <n v="3647"/>
    <n v="32"/>
    <s v="#StyleWithMyntra,#FashionDeals"/>
    <x v="3"/>
    <n v="12.9"/>
    <d v="2025-01-10T00:00:00"/>
    <d v="2025-02-10T00:00:00"/>
    <x v="2"/>
  </r>
  <r>
    <s v="P106"/>
    <x v="2"/>
    <d v="2025-02-04T00:00:00"/>
    <x v="4"/>
    <s v="Explore the latest image on Myntra! Trendy styles await."/>
    <n v="4619"/>
    <n v="821"/>
    <n v="499"/>
    <n v="69285"/>
    <n v="69141"/>
    <n v="298"/>
    <s v="#MyntraFashion"/>
    <x v="0"/>
    <n v="8.57"/>
    <d v="2024-08-01T00:00:00"/>
    <d v="2024-08-31T00:00:00"/>
    <x v="0"/>
  </r>
  <r>
    <s v="P107"/>
    <x v="1"/>
    <d v="2024-06-21T00:00:00"/>
    <x v="4"/>
    <s v="Explore the latest image on Myntra! Trendy styles await."/>
    <n v="4832"/>
    <n v="893"/>
    <n v="10"/>
    <n v="91808"/>
    <n v="91296"/>
    <n v="182"/>
    <s v="#MyntraSale,#StyleWithMyntra"/>
    <x v="2"/>
    <n v="6.25"/>
    <d v="2024-10-05T00:00:00"/>
    <d v="2024-11-05T00:00:00"/>
    <x v="2"/>
  </r>
  <r>
    <s v="P108"/>
    <x v="0"/>
    <d v="2025-03-25T00:00:00"/>
    <x v="5"/>
    <s v="Explore the latest video on Myntra! Trendy styles await."/>
    <n v="4050"/>
    <n v="871"/>
    <n v="347"/>
    <n v="52650"/>
    <n v="51755"/>
    <n v="209"/>
    <s v="#StyleWithMyntra,#FashionDeals"/>
    <x v="0"/>
    <n v="10.01"/>
    <d v="2024-08-01T00:00:00"/>
    <d v="2024-08-31T00:00:00"/>
    <x v="0"/>
  </r>
  <r>
    <s v="P109"/>
    <x v="0"/>
    <d v="2024-08-08T00:00:00"/>
    <x v="1"/>
    <s v="Explore the latest story on Myntra! Trendy styles await."/>
    <n v="3649"/>
    <n v="215"/>
    <n v="413"/>
    <n v="25543"/>
    <n v="24963"/>
    <n v="167"/>
    <s v="#MyntraFashion,#StyleWithMyntra"/>
    <x v="0"/>
    <n v="16.739999999999998"/>
    <d v="2024-08-01T00:00:00"/>
    <d v="2024-08-31T00:00:00"/>
    <x v="1"/>
  </r>
  <r>
    <s v="P110"/>
    <x v="2"/>
    <d v="2024-07-29T00:00:00"/>
    <x v="0"/>
    <s v="Explore the latest reel on Myntra! Trendy styles await."/>
    <n v="3523"/>
    <n v="753"/>
    <n v="482"/>
    <n v="38753"/>
    <n v="38579"/>
    <n v="270"/>
    <s v="#FashionDeals,#StyleWithMyntra"/>
    <x v="1"/>
    <n v="12.28"/>
    <d v="2024-06-10T00:00:00"/>
    <d v="2024-07-05T00:00:00"/>
    <x v="0"/>
  </r>
  <r>
    <s v="P111"/>
    <x v="1"/>
    <d v="2024-11-23T00:00:00"/>
    <x v="4"/>
    <s v="Explore the latest image on Myntra! Trendy styles await."/>
    <n v="2719"/>
    <n v="17"/>
    <n v="285"/>
    <n v="40785"/>
    <n v="40281"/>
    <n v="40"/>
    <s v="#MyntraFashion,#StyleWithMyntra"/>
    <x v="2"/>
    <n v="7.41"/>
    <d v="2024-10-05T00:00:00"/>
    <d v="2024-11-05T00:00:00"/>
    <x v="0"/>
  </r>
  <r>
    <s v="P112"/>
    <x v="0"/>
    <d v="2024-10-05T00:00:00"/>
    <x v="1"/>
    <s v="Explore the latest story on Myntra! Trendy styles await."/>
    <n v="1957"/>
    <n v="877"/>
    <n v="238"/>
    <n v="17613"/>
    <n v="16865"/>
    <n v="297"/>
    <s v="#MyntraFashion,#MyntraSale"/>
    <x v="2"/>
    <n v="17.440000000000001"/>
    <d v="2024-10-05T00:00:00"/>
    <d v="2024-11-05T00:00:00"/>
    <x v="1"/>
  </r>
  <r>
    <s v="P113"/>
    <x v="0"/>
    <d v="2024-10-02T00:00:00"/>
    <x v="3"/>
    <s v="Explore the latest carousel on Myntra! Trendy styles await."/>
    <n v="4419"/>
    <n v="236"/>
    <n v="369"/>
    <n v="44190"/>
    <n v="43582"/>
    <n v="10"/>
    <s v="#MyntraTrend"/>
    <x v="3"/>
    <n v="11.37"/>
    <d v="2025-01-10T00:00:00"/>
    <d v="2025-02-10T00:00:00"/>
    <x v="2"/>
  </r>
  <r>
    <s v="P114"/>
    <x v="0"/>
    <d v="2024-11-14T00:00:00"/>
    <x v="1"/>
    <s v="Explore the latest story on Myntra! Trendy styles await."/>
    <n v="4000"/>
    <n v="689"/>
    <n v="488"/>
    <n v="40000"/>
    <n v="39569"/>
    <n v="44"/>
    <s v="#FashionDeals,#MyntraFashion"/>
    <x v="2"/>
    <n v="12.94"/>
    <d v="2024-10-05T00:00:00"/>
    <d v="2024-11-05T00:00:00"/>
    <x v="0"/>
  </r>
  <r>
    <s v="P115"/>
    <x v="0"/>
    <d v="2025-05-11T00:00:00"/>
    <x v="4"/>
    <s v="Explore the latest image on Myntra! Trendy styles await."/>
    <n v="2493"/>
    <n v="97"/>
    <n v="44"/>
    <n v="42381"/>
    <n v="41991"/>
    <n v="242"/>
    <s v="#MyntraSale,#StyleWithMyntra"/>
    <x v="0"/>
    <n v="6.22"/>
    <d v="2024-08-01T00:00:00"/>
    <d v="2024-08-31T00:00:00"/>
    <x v="0"/>
  </r>
  <r>
    <s v="P116"/>
    <x v="1"/>
    <d v="2025-03-18T00:00:00"/>
    <x v="0"/>
    <s v="Explore the latest reel on Myntra! Trendy styles await."/>
    <n v="3704"/>
    <n v="186"/>
    <n v="458"/>
    <n v="25928"/>
    <n v="25081"/>
    <n v="131"/>
    <s v="#StyleWithMyntra"/>
    <x v="0"/>
    <n v="16.77"/>
    <d v="2024-08-01T00:00:00"/>
    <d v="2024-08-31T00:00:00"/>
    <x v="0"/>
  </r>
  <r>
    <s v="P117"/>
    <x v="0"/>
    <d v="2024-11-04T00:00:00"/>
    <x v="4"/>
    <s v="Explore the latest image on Myntra! Trendy styles await."/>
    <n v="1606"/>
    <n v="451"/>
    <n v="405"/>
    <n v="20878"/>
    <n v="20190"/>
    <n v="219"/>
    <s v="#MyntraSale,#StyleWithMyntra"/>
    <x v="1"/>
    <n v="11.79"/>
    <d v="2024-06-10T00:00:00"/>
    <d v="2024-07-05T00:00:00"/>
    <x v="0"/>
  </r>
  <r>
    <s v="P118"/>
    <x v="3"/>
    <d v="2024-11-04T00:00:00"/>
    <x v="4"/>
    <s v="Explore the latest image on Myntra! Trendy styles await."/>
    <n v="4551"/>
    <n v="714"/>
    <n v="207"/>
    <n v="68265"/>
    <n v="67754"/>
    <n v="57"/>
    <s v="#MyntraTrend"/>
    <x v="1"/>
    <n v="8.02"/>
    <d v="2024-06-10T00:00:00"/>
    <d v="2024-07-05T00:00:00"/>
    <x v="0"/>
  </r>
  <r>
    <s v="P119"/>
    <x v="2"/>
    <d v="2025-02-07T00:00:00"/>
    <x v="0"/>
    <s v="Explore the latest reel on Myntra! Trendy styles await."/>
    <n v="1970"/>
    <n v="675"/>
    <n v="478"/>
    <n v="9850"/>
    <n v="8924"/>
    <n v="117"/>
    <s v="#MyntraTrend"/>
    <x v="3"/>
    <n v="31.71"/>
    <d v="2025-01-10T00:00:00"/>
    <d v="2025-02-10T00:00:00"/>
    <x v="1"/>
  </r>
  <r>
    <s v="P120"/>
    <x v="3"/>
    <d v="2024-10-21T00:00:00"/>
    <x v="1"/>
    <s v="Explore the latest story on Myntra! Trendy styles await."/>
    <n v="780"/>
    <n v="928"/>
    <n v="301"/>
    <n v="8580"/>
    <n v="8081"/>
    <n v="91"/>
    <s v="#MyntraSale,#MyntraFashion"/>
    <x v="3"/>
    <n v="23.41"/>
    <d v="2025-01-10T00:00:00"/>
    <d v="2025-02-10T00:00:00"/>
    <x v="2"/>
  </r>
  <r>
    <s v="P121"/>
    <x v="2"/>
    <d v="2024-07-29T00:00:00"/>
    <x v="1"/>
    <s v="Explore the latest story on Myntra! Trendy styles await."/>
    <n v="498"/>
    <n v="701"/>
    <n v="412"/>
    <n v="4980"/>
    <n v="4185"/>
    <n v="185"/>
    <s v="#FashionDeals,#StyleWithMyntra"/>
    <x v="3"/>
    <n v="32.35"/>
    <d v="2025-01-10T00:00:00"/>
    <d v="2025-02-10T00:00:00"/>
    <x v="2"/>
  </r>
  <r>
    <s v="P122"/>
    <x v="2"/>
    <d v="2024-10-02T00:00:00"/>
    <x v="2"/>
    <s v="Explore the latest text on Myntra! Trendy styles await."/>
    <n v="3432"/>
    <n v="869"/>
    <n v="123"/>
    <n v="54912"/>
    <n v="53916"/>
    <n v="264"/>
    <s v="#MyntraFashion,#MyntraTrend"/>
    <x v="1"/>
    <n v="8.06"/>
    <d v="2024-06-10T00:00:00"/>
    <d v="2024-07-05T00:00:00"/>
    <x v="0"/>
  </r>
  <r>
    <s v="P123"/>
    <x v="2"/>
    <d v="2024-06-14T00:00:00"/>
    <x v="1"/>
    <s v="Explore the latest story on Myntra! Trendy styles await."/>
    <n v="4363"/>
    <n v="649"/>
    <n v="140"/>
    <n v="21815"/>
    <n v="21481"/>
    <n v="157"/>
    <s v="#MyntraSale,#MyntraFashion"/>
    <x v="1"/>
    <n v="23.62"/>
    <d v="2024-06-10T00:00:00"/>
    <d v="2024-07-05T00:00:00"/>
    <x v="1"/>
  </r>
  <r>
    <s v="P124"/>
    <x v="1"/>
    <d v="2025-04-06T00:00:00"/>
    <x v="3"/>
    <s v="Explore the latest carousel on Myntra! Trendy styles await."/>
    <n v="736"/>
    <n v="771"/>
    <n v="225"/>
    <n v="5152"/>
    <n v="4706"/>
    <n v="19"/>
    <s v="#StyleWithMyntra"/>
    <x v="2"/>
    <n v="33.619999999999997"/>
    <d v="2024-10-05T00:00:00"/>
    <d v="2024-11-05T00:00:00"/>
    <x v="0"/>
  </r>
  <r>
    <s v="P125"/>
    <x v="0"/>
    <d v="2024-09-08T00:00:00"/>
    <x v="3"/>
    <s v="Explore the latest carousel on Myntra! Trendy styles await."/>
    <n v="3811"/>
    <n v="866"/>
    <n v="216"/>
    <n v="34299"/>
    <n v="34088"/>
    <n v="233"/>
    <s v="#StyleWithMyntra"/>
    <x v="2"/>
    <n v="14.27"/>
    <d v="2024-10-05T00:00:00"/>
    <d v="2024-11-05T00:00:00"/>
    <x v="2"/>
  </r>
  <r>
    <s v="P126"/>
    <x v="2"/>
    <d v="2025-03-28T00:00:00"/>
    <x v="3"/>
    <s v="Explore the latest carousel on Myntra! Trendy styles await."/>
    <n v="4158"/>
    <n v="167"/>
    <n v="241"/>
    <n v="45738"/>
    <n v="45183"/>
    <n v="142"/>
    <s v="#MyntraFashion"/>
    <x v="1"/>
    <n v="9.98"/>
    <d v="2024-06-10T00:00:00"/>
    <d v="2024-07-05T00:00:00"/>
    <x v="0"/>
  </r>
  <r>
    <s v="P127"/>
    <x v="3"/>
    <d v="2025-01-27T00:00:00"/>
    <x v="0"/>
    <s v="Explore the latest reel on Myntra! Trendy styles await."/>
    <n v="3452"/>
    <n v="652"/>
    <n v="442"/>
    <n v="65588"/>
    <n v="65049"/>
    <n v="158"/>
    <s v="#MyntraSale,#StyleWithMyntra"/>
    <x v="0"/>
    <n v="6.93"/>
    <d v="2024-08-01T00:00:00"/>
    <d v="2024-08-31T00:00:00"/>
    <x v="0"/>
  </r>
  <r>
    <s v="P128"/>
    <x v="0"/>
    <d v="2025-01-10T00:00:00"/>
    <x v="4"/>
    <s v="Explore the latest image on Myntra! Trendy styles await."/>
    <n v="3092"/>
    <n v="106"/>
    <n v="291"/>
    <n v="27828"/>
    <n v="27217"/>
    <n v="102"/>
    <s v="#StyleWithMyntra"/>
    <x v="3"/>
    <n v="12.54"/>
    <d v="2025-01-10T00:00:00"/>
    <d v="2025-02-10T00:00:00"/>
    <x v="1"/>
  </r>
  <r>
    <s v="P129"/>
    <x v="0"/>
    <d v="2024-07-21T00:00:00"/>
    <x v="2"/>
    <s v="Explore the latest text on Myntra! Trendy styles await."/>
    <n v="2147"/>
    <n v="430"/>
    <n v="393"/>
    <n v="17176"/>
    <n v="16483"/>
    <n v="170"/>
    <s v="#FashionDeals"/>
    <x v="3"/>
    <n v="17.29"/>
    <d v="2025-01-10T00:00:00"/>
    <d v="2025-02-10T00:00:00"/>
    <x v="2"/>
  </r>
  <r>
    <s v="P130"/>
    <x v="1"/>
    <d v="2024-09-29T00:00:00"/>
    <x v="0"/>
    <s v="Explore the latest reel on Myntra! Trendy styles await."/>
    <n v="2936"/>
    <n v="439"/>
    <n v="44"/>
    <n v="38168"/>
    <n v="37571"/>
    <n v="22"/>
    <s v="#MyntraSale"/>
    <x v="2"/>
    <n v="8.9600000000000009"/>
    <d v="2024-10-05T00:00:00"/>
    <d v="2024-11-05T00:00:00"/>
    <x v="2"/>
  </r>
  <r>
    <s v="P131"/>
    <x v="2"/>
    <d v="2024-10-21T00:00:00"/>
    <x v="0"/>
    <s v="Explore the latest reel on Myntra! Trendy styles await."/>
    <n v="4840"/>
    <n v="658"/>
    <n v="211"/>
    <n v="43560"/>
    <n v="43225"/>
    <n v="57"/>
    <s v="#MyntraSale,#MyntraFashion"/>
    <x v="1"/>
    <n v="13.11"/>
    <d v="2024-06-10T00:00:00"/>
    <d v="2024-07-05T00:00:00"/>
    <x v="0"/>
  </r>
  <r>
    <s v="P132"/>
    <x v="2"/>
    <d v="2025-03-04T00:00:00"/>
    <x v="1"/>
    <s v="Explore the latest story on Myntra! Trendy styles await."/>
    <n v="1947"/>
    <n v="842"/>
    <n v="101"/>
    <n v="21417"/>
    <n v="20967"/>
    <n v="186"/>
    <s v="#MyntraFashion"/>
    <x v="1"/>
    <n v="13.49"/>
    <d v="2024-06-10T00:00:00"/>
    <d v="2024-07-05T00:00:00"/>
    <x v="0"/>
  </r>
  <r>
    <s v="P133"/>
    <x v="3"/>
    <d v="2025-02-06T00:00:00"/>
    <x v="4"/>
    <s v="Explore the latest image on Myntra! Trendy styles await."/>
    <n v="2072"/>
    <n v="532"/>
    <n v="71"/>
    <n v="37296"/>
    <n v="36467"/>
    <n v="25"/>
    <s v="#MyntraSale"/>
    <x v="2"/>
    <n v="7.17"/>
    <d v="2024-10-05T00:00:00"/>
    <d v="2024-11-05T00:00:00"/>
    <x v="0"/>
  </r>
  <r>
    <s v="P134"/>
    <x v="0"/>
    <d v="2025-04-24T00:00:00"/>
    <x v="0"/>
    <s v="Explore the latest reel on Myntra! Trendy styles await."/>
    <n v="3731"/>
    <n v="115"/>
    <n v="135"/>
    <n v="55965"/>
    <n v="55436"/>
    <n v="103"/>
    <s v="#FashionDeals"/>
    <x v="3"/>
    <n v="7.11"/>
    <d v="2025-01-10T00:00:00"/>
    <d v="2025-02-10T00:00:00"/>
    <x v="0"/>
  </r>
  <r>
    <s v="P135"/>
    <x v="3"/>
    <d v="2024-11-28T00:00:00"/>
    <x v="2"/>
    <s v="Explore the latest text on Myntra! Trendy styles await."/>
    <n v="4213"/>
    <n v="253"/>
    <n v="434"/>
    <n v="75834"/>
    <n v="75437"/>
    <n v="272"/>
    <s v="#MyntraTrend"/>
    <x v="2"/>
    <n v="6.46"/>
    <d v="2024-10-05T00:00:00"/>
    <d v="2024-11-05T00:00:00"/>
    <x v="0"/>
  </r>
  <r>
    <s v="P136"/>
    <x v="2"/>
    <d v="2024-07-11T00:00:00"/>
    <x v="2"/>
    <s v="Explore the latest text on Myntra! Trendy styles await."/>
    <n v="3134"/>
    <n v="888"/>
    <n v="444"/>
    <n v="21938"/>
    <n v="21337"/>
    <n v="130"/>
    <s v="#MyntraSale,#MyntraFashion"/>
    <x v="3"/>
    <n v="20.36"/>
    <d v="2025-01-10T00:00:00"/>
    <d v="2025-02-10T00:00:00"/>
    <x v="2"/>
  </r>
  <r>
    <s v="P137"/>
    <x v="3"/>
    <d v="2024-07-31T00:00:00"/>
    <x v="5"/>
    <s v="Explore the latest video on Myntra! Trendy styles await."/>
    <n v="3008"/>
    <n v="94"/>
    <n v="37"/>
    <n v="15040"/>
    <n v="14639"/>
    <n v="277"/>
    <s v="#FashionDeals"/>
    <x v="0"/>
    <n v="20.87"/>
    <d v="2024-08-01T00:00:00"/>
    <d v="2024-08-31T00:00:00"/>
    <x v="2"/>
  </r>
  <r>
    <s v="P138"/>
    <x v="0"/>
    <d v="2025-03-29T00:00:00"/>
    <x v="4"/>
    <s v="Explore the latest image on Myntra! Trendy styles await."/>
    <n v="305"/>
    <n v="187"/>
    <n v="243"/>
    <n v="4575"/>
    <n v="3704"/>
    <n v="234"/>
    <s v="#MyntraFashion,#MyntraTrend"/>
    <x v="3"/>
    <n v="16.07"/>
    <d v="2025-01-10T00:00:00"/>
    <d v="2025-02-10T00:00:00"/>
    <x v="0"/>
  </r>
  <r>
    <s v="P139"/>
    <x v="1"/>
    <d v="2024-10-29T00:00:00"/>
    <x v="2"/>
    <s v="Explore the latest text on Myntra! Trendy styles await."/>
    <n v="2746"/>
    <n v="156"/>
    <n v="203"/>
    <n v="32952"/>
    <n v="32147"/>
    <n v="147"/>
    <s v="#MyntraFashion,#StyleWithMyntra"/>
    <x v="1"/>
    <n v="9.42"/>
    <d v="2024-06-10T00:00:00"/>
    <d v="2024-07-05T00:00:00"/>
    <x v="0"/>
  </r>
  <r>
    <s v="P140"/>
    <x v="3"/>
    <d v="2024-07-15T00:00:00"/>
    <x v="4"/>
    <s v="Explore the latest image on Myntra! Trendy styles await."/>
    <n v="2291"/>
    <n v="78"/>
    <n v="485"/>
    <n v="18328"/>
    <n v="18101"/>
    <n v="10"/>
    <s v="#FashionDeals"/>
    <x v="0"/>
    <n v="15.57"/>
    <d v="2024-08-01T00:00:00"/>
    <d v="2024-08-31T00:00:00"/>
    <x v="2"/>
  </r>
  <r>
    <s v="P141"/>
    <x v="0"/>
    <d v="2024-08-31T00:00:00"/>
    <x v="4"/>
    <s v="Explore the latest image on Myntra! Trendy styles await."/>
    <n v="3170"/>
    <n v="857"/>
    <n v="379"/>
    <n v="19020"/>
    <n v="18559"/>
    <n v="240"/>
    <s v="#MyntraSale"/>
    <x v="2"/>
    <n v="23.17"/>
    <d v="2024-10-05T00:00:00"/>
    <d v="2024-11-05T00:00:00"/>
    <x v="2"/>
  </r>
  <r>
    <s v="P142"/>
    <x v="1"/>
    <d v="2025-03-25T00:00:00"/>
    <x v="1"/>
    <s v="Explore the latest story on Myntra! Trendy styles await."/>
    <n v="2070"/>
    <n v="275"/>
    <n v="386"/>
    <n v="39330"/>
    <n v="38627"/>
    <n v="114"/>
    <s v="#MyntraSale"/>
    <x v="3"/>
    <n v="6.94"/>
    <d v="2025-01-10T00:00:00"/>
    <d v="2025-02-10T00:00:00"/>
    <x v="0"/>
  </r>
  <r>
    <s v="P143"/>
    <x v="1"/>
    <d v="2024-10-02T00:00:00"/>
    <x v="3"/>
    <s v="Explore the latest carousel on Myntra! Trendy styles await."/>
    <n v="80"/>
    <n v="362"/>
    <n v="80"/>
    <n v="1040"/>
    <n v="349"/>
    <n v="117"/>
    <s v="#MyntraFashion,#StyleWithMyntra"/>
    <x v="1"/>
    <n v="50.19"/>
    <d v="2024-06-10T00:00:00"/>
    <d v="2024-07-05T00:00:00"/>
    <x v="0"/>
  </r>
  <r>
    <s v="P144"/>
    <x v="1"/>
    <d v="2024-10-28T00:00:00"/>
    <x v="1"/>
    <s v="Explore the latest story on Myntra! Trendy styles await."/>
    <n v="4929"/>
    <n v="749"/>
    <n v="452"/>
    <n v="93651"/>
    <n v="92810"/>
    <n v="66"/>
    <s v="#MyntraTrend,#StyleWithMyntra"/>
    <x v="0"/>
    <n v="6.55"/>
    <d v="2024-08-01T00:00:00"/>
    <d v="2024-08-31T00:00:00"/>
    <x v="0"/>
  </r>
  <r>
    <s v="P145"/>
    <x v="2"/>
    <d v="2024-08-12T00:00:00"/>
    <x v="3"/>
    <s v="Explore the latest carousel on Myntra! Trendy styles await."/>
    <n v="1878"/>
    <n v="62"/>
    <n v="179"/>
    <n v="37560"/>
    <n v="36874"/>
    <n v="142"/>
    <s v="#FashionDeals,#MyntraTrend"/>
    <x v="0"/>
    <n v="5.64"/>
    <d v="2024-08-01T00:00:00"/>
    <d v="2024-08-31T00:00:00"/>
    <x v="1"/>
  </r>
  <r>
    <s v="P146"/>
    <x v="1"/>
    <d v="2024-06-05T00:00:00"/>
    <x v="0"/>
    <s v="Explore the latest reel on Myntra! Trendy styles await."/>
    <n v="3065"/>
    <n v="772"/>
    <n v="142"/>
    <n v="18390"/>
    <n v="17875"/>
    <n v="200"/>
    <s v="#StyleWithMyntra"/>
    <x v="0"/>
    <n v="21.64"/>
    <d v="2024-08-01T00:00:00"/>
    <d v="2024-08-31T00:00:00"/>
    <x v="2"/>
  </r>
  <r>
    <s v="P147"/>
    <x v="2"/>
    <d v="2024-10-21T00:00:00"/>
    <x v="0"/>
    <s v="Explore the latest reel on Myntra! Trendy styles await."/>
    <n v="3256"/>
    <n v="459"/>
    <n v="266"/>
    <n v="26048"/>
    <n v="25529"/>
    <n v="143"/>
    <s v="#MyntraSale,#StyleWithMyntra"/>
    <x v="2"/>
    <n v="15.28"/>
    <d v="2024-10-05T00:00:00"/>
    <d v="2024-11-05T00:00:00"/>
    <x v="1"/>
  </r>
  <r>
    <s v="P148"/>
    <x v="2"/>
    <d v="2025-04-15T00:00:00"/>
    <x v="5"/>
    <s v="Explore the latest video on Myntra! Trendy styles await."/>
    <n v="4133"/>
    <n v="466"/>
    <n v="327"/>
    <n v="24798"/>
    <n v="24620"/>
    <n v="176"/>
    <s v="#StyleWithMyntra"/>
    <x v="1"/>
    <n v="19.86"/>
    <d v="2024-06-10T00:00:00"/>
    <d v="2024-07-05T00:00:00"/>
    <x v="0"/>
  </r>
  <r>
    <s v="P149"/>
    <x v="0"/>
    <d v="2024-06-16T00:00:00"/>
    <x v="5"/>
    <s v="Explore the latest video on Myntra! Trendy styles await."/>
    <n v="1702"/>
    <n v="750"/>
    <n v="179"/>
    <n v="34040"/>
    <n v="33174"/>
    <n v="76"/>
    <s v="#MyntraTrend"/>
    <x v="2"/>
    <n v="7.73"/>
    <d v="2024-10-05T00:00:00"/>
    <d v="2024-11-05T00:00:00"/>
    <x v="2"/>
  </r>
  <r>
    <s v="P150"/>
    <x v="1"/>
    <d v="2024-08-22T00:00:00"/>
    <x v="3"/>
    <s v="Explore the latest carousel on Myntra! Trendy styles await."/>
    <n v="4295"/>
    <n v="853"/>
    <n v="325"/>
    <n v="85900"/>
    <n v="85788"/>
    <n v="290"/>
    <s v="#MyntraTrend,#MyntraSale"/>
    <x v="1"/>
    <n v="6.37"/>
    <d v="2024-06-10T00:00:00"/>
    <d v="2024-07-05T00:00:00"/>
    <x v="0"/>
  </r>
  <r>
    <s v="P151"/>
    <x v="2"/>
    <d v="2024-07-26T00:00:00"/>
    <x v="4"/>
    <s v="Explore the latest image on Myntra! Trendy styles await."/>
    <n v="3559"/>
    <n v="59"/>
    <n v="289"/>
    <n v="35590"/>
    <n v="35105"/>
    <n v="122"/>
    <s v="#MyntraTrend,#StyleWithMyntra"/>
    <x v="2"/>
    <n v="10.98"/>
    <d v="2024-10-05T00:00:00"/>
    <d v="2024-11-05T00:00:00"/>
    <x v="2"/>
  </r>
  <r>
    <s v="P152"/>
    <x v="3"/>
    <d v="2025-04-22T00:00:00"/>
    <x v="4"/>
    <s v="Explore the latest image on Myntra! Trendy styles await."/>
    <n v="4804"/>
    <n v="550"/>
    <n v="270"/>
    <n v="28824"/>
    <n v="28370"/>
    <n v="47"/>
    <s v="#MyntraSale,#StyleWithMyntra"/>
    <x v="3"/>
    <n v="19.510000000000002"/>
    <d v="2025-01-10T00:00:00"/>
    <d v="2025-02-10T00:00:00"/>
    <x v="0"/>
  </r>
  <r>
    <s v="P153"/>
    <x v="0"/>
    <d v="2025-01-01T00:00:00"/>
    <x v="5"/>
    <s v="Explore the latest video on Myntra! Trendy styles await."/>
    <n v="754"/>
    <n v="197"/>
    <n v="257"/>
    <n v="6786"/>
    <n v="6221"/>
    <n v="212"/>
    <s v="#FashionDeals,#MyntraTrend"/>
    <x v="2"/>
    <n v="17.8"/>
    <d v="2024-10-05T00:00:00"/>
    <d v="2024-11-05T00:00:00"/>
    <x v="0"/>
  </r>
  <r>
    <s v="P154"/>
    <x v="2"/>
    <d v="2024-10-09T00:00:00"/>
    <x v="3"/>
    <s v="Explore the latest carousel on Myntra! Trendy styles await."/>
    <n v="985"/>
    <n v="932"/>
    <n v="287"/>
    <n v="6895"/>
    <n v="6757"/>
    <n v="64"/>
    <s v="#MyntraSale,#MyntraFashion"/>
    <x v="1"/>
    <n v="31.97"/>
    <d v="2024-06-10T00:00:00"/>
    <d v="2024-07-05T00:00:00"/>
    <x v="0"/>
  </r>
  <r>
    <s v="P155"/>
    <x v="1"/>
    <d v="2024-12-21T00:00:00"/>
    <x v="4"/>
    <s v="Explore the latest image on Myntra! Trendy styles await."/>
    <n v="2283"/>
    <n v="210"/>
    <n v="130"/>
    <n v="22830"/>
    <n v="22617"/>
    <n v="143"/>
    <s v="#MyntraFashion,#StyleWithMyntra"/>
    <x v="2"/>
    <n v="11.49"/>
    <d v="2024-10-05T00:00:00"/>
    <d v="2024-11-05T00:00:00"/>
    <x v="0"/>
  </r>
  <r>
    <s v="P156"/>
    <x v="3"/>
    <d v="2024-10-22T00:00:00"/>
    <x v="3"/>
    <s v="Explore the latest carousel on Myntra! Trendy styles await."/>
    <n v="3352"/>
    <n v="941"/>
    <n v="482"/>
    <n v="43576"/>
    <n v="43338"/>
    <n v="240"/>
    <s v="#MyntraTrend"/>
    <x v="2"/>
    <n v="10.96"/>
    <d v="2024-10-05T00:00:00"/>
    <d v="2024-11-05T00:00:00"/>
    <x v="1"/>
  </r>
  <r>
    <s v="P157"/>
    <x v="1"/>
    <d v="2024-07-23T00:00:00"/>
    <x v="1"/>
    <s v="Explore the latest story on Myntra! Trendy styles await."/>
    <n v="4775"/>
    <n v="173"/>
    <n v="206"/>
    <n v="47750"/>
    <n v="47544"/>
    <n v="187"/>
    <s v="#StyleWithMyntra,#MyntraTrend"/>
    <x v="3"/>
    <n v="10.79"/>
    <d v="2025-01-10T00:00:00"/>
    <d v="2025-02-10T00:00:00"/>
    <x v="2"/>
  </r>
  <r>
    <s v="P158"/>
    <x v="2"/>
    <d v="2024-08-11T00:00:00"/>
    <x v="1"/>
    <s v="Explore the latest story on Myntra! Trendy styles await."/>
    <n v="1762"/>
    <n v="405"/>
    <n v="423"/>
    <n v="22906"/>
    <n v="21925"/>
    <n v="25"/>
    <s v="#FashionDeals"/>
    <x v="1"/>
    <n v="11.31"/>
    <d v="2024-06-10T00:00:00"/>
    <d v="2024-07-05T00:00:00"/>
    <x v="0"/>
  </r>
  <r>
    <s v="P159"/>
    <x v="3"/>
    <d v="2024-11-25T00:00:00"/>
    <x v="1"/>
    <s v="Explore the latest story on Myntra! Trendy styles await."/>
    <n v="2120"/>
    <n v="158"/>
    <n v="488"/>
    <n v="12720"/>
    <n v="12085"/>
    <n v="17"/>
    <s v="#StyleWithMyntra,#MyntraTrend"/>
    <x v="1"/>
    <n v="21.75"/>
    <d v="2024-06-10T00:00:00"/>
    <d v="2024-07-05T00:00:00"/>
    <x v="0"/>
  </r>
  <r>
    <s v="P160"/>
    <x v="0"/>
    <d v="2024-08-24T00:00:00"/>
    <x v="5"/>
    <s v="Explore the latest video on Myntra! Trendy styles await."/>
    <n v="1082"/>
    <n v="209"/>
    <n v="484"/>
    <n v="19476"/>
    <n v="18654"/>
    <n v="20"/>
    <s v="#StyleWithMyntra"/>
    <x v="3"/>
    <n v="9.11"/>
    <d v="2025-01-10T00:00:00"/>
    <d v="2025-02-10T00:00:00"/>
    <x v="2"/>
  </r>
  <r>
    <s v="P161"/>
    <x v="0"/>
    <d v="2025-02-19T00:00:00"/>
    <x v="2"/>
    <s v="Explore the latest text on Myntra! Trendy styles await."/>
    <n v="4671"/>
    <n v="876"/>
    <n v="366"/>
    <n v="51381"/>
    <n v="50565"/>
    <n v="245"/>
    <s v="#MyntraSale"/>
    <x v="1"/>
    <n v="11.51"/>
    <d v="2024-06-10T00:00:00"/>
    <d v="2024-07-05T00:00:00"/>
    <x v="0"/>
  </r>
  <r>
    <s v="P162"/>
    <x v="3"/>
    <d v="2025-04-01T00:00:00"/>
    <x v="1"/>
    <s v="Explore the latest story on Myntra! Trendy styles await."/>
    <n v="3430"/>
    <n v="566"/>
    <n v="164"/>
    <n v="48020"/>
    <n v="47305"/>
    <n v="120"/>
    <s v="#MyntraTrend"/>
    <x v="1"/>
    <n v="8.66"/>
    <d v="2024-06-10T00:00:00"/>
    <d v="2024-07-05T00:00:00"/>
    <x v="0"/>
  </r>
  <r>
    <s v="P163"/>
    <x v="2"/>
    <d v="2025-04-08T00:00:00"/>
    <x v="4"/>
    <s v="Explore the latest image on Myntra! Trendy styles await."/>
    <n v="4501"/>
    <n v="375"/>
    <n v="323"/>
    <n v="22505"/>
    <n v="21836"/>
    <n v="132"/>
    <s v="#MyntraFashion"/>
    <x v="3"/>
    <n v="23.1"/>
    <d v="2025-01-10T00:00:00"/>
    <d v="2025-02-10T00:00:00"/>
    <x v="0"/>
  </r>
  <r>
    <s v="P164"/>
    <x v="1"/>
    <d v="2025-02-27T00:00:00"/>
    <x v="2"/>
    <s v="Explore the latest text on Myntra! Trendy styles await."/>
    <n v="4934"/>
    <n v="971"/>
    <n v="156"/>
    <n v="39472"/>
    <n v="39025"/>
    <n v="169"/>
    <s v="#FashionDeals,#StyleWithMyntra"/>
    <x v="1"/>
    <n v="15.36"/>
    <d v="2024-06-10T00:00:00"/>
    <d v="2024-07-05T00:00:00"/>
    <x v="0"/>
  </r>
  <r>
    <s v="P165"/>
    <x v="0"/>
    <d v="2024-12-11T00:00:00"/>
    <x v="2"/>
    <s v="Explore the latest text on Myntra! Trendy styles await."/>
    <n v="3239"/>
    <n v="43"/>
    <n v="211"/>
    <n v="22673"/>
    <n v="22171"/>
    <n v="230"/>
    <s v="#MyntraTrend,#StyleWithMyntra"/>
    <x v="1"/>
    <n v="15.41"/>
    <d v="2024-06-10T00:00:00"/>
    <d v="2024-07-05T00:00:00"/>
    <x v="0"/>
  </r>
  <r>
    <s v="P166"/>
    <x v="0"/>
    <d v="2025-02-16T00:00:00"/>
    <x v="0"/>
    <s v="Explore the latest reel on Myntra! Trendy styles await."/>
    <n v="1076"/>
    <n v="313"/>
    <n v="306"/>
    <n v="11836"/>
    <n v="11596"/>
    <n v="104"/>
    <s v="#FashionDeals"/>
    <x v="1"/>
    <n v="14.32"/>
    <d v="2024-06-10T00:00:00"/>
    <d v="2024-07-05T00:00:00"/>
    <x v="0"/>
  </r>
  <r>
    <s v="P167"/>
    <x v="2"/>
    <d v="2024-11-28T00:00:00"/>
    <x v="2"/>
    <s v="Explore the latest text on Myntra! Trendy styles await."/>
    <n v="4771"/>
    <n v="818"/>
    <n v="56"/>
    <n v="57252"/>
    <n v="56378"/>
    <n v="150"/>
    <s v="#MyntraSale"/>
    <x v="1"/>
    <n v="9.86"/>
    <d v="2024-06-10T00:00:00"/>
    <d v="2024-07-05T00:00:00"/>
    <x v="0"/>
  </r>
  <r>
    <s v="P168"/>
    <x v="3"/>
    <d v="2024-11-12T00:00:00"/>
    <x v="2"/>
    <s v="Explore the latest text on Myntra! Trendy styles await."/>
    <n v="2418"/>
    <n v="754"/>
    <n v="54"/>
    <n v="43524"/>
    <n v="42743"/>
    <n v="182"/>
    <s v="#MyntraFashion,#MyntraTrend"/>
    <x v="3"/>
    <n v="7.41"/>
    <d v="2025-01-10T00:00:00"/>
    <d v="2025-02-10T00:00:00"/>
    <x v="2"/>
  </r>
  <r>
    <s v="P169"/>
    <x v="1"/>
    <d v="2024-12-03T00:00:00"/>
    <x v="5"/>
    <s v="Explore the latest video on Myntra! Trendy styles await."/>
    <n v="3809"/>
    <n v="273"/>
    <n v="200"/>
    <n v="34281"/>
    <n v="33534"/>
    <n v="83"/>
    <s v="#MyntraTrend"/>
    <x v="2"/>
    <n v="12.49"/>
    <d v="2024-10-05T00:00:00"/>
    <d v="2024-11-05T00:00:00"/>
    <x v="0"/>
  </r>
  <r>
    <s v="P170"/>
    <x v="0"/>
    <d v="2025-04-28T00:00:00"/>
    <x v="2"/>
    <s v="Explore the latest text on Myntra! Trendy styles await."/>
    <n v="3577"/>
    <n v="596"/>
    <n v="493"/>
    <n v="67963"/>
    <n v="67839"/>
    <n v="53"/>
    <s v="#StyleWithMyntra,#MyntraTrend"/>
    <x v="3"/>
    <n v="6.87"/>
    <d v="2025-01-10T00:00:00"/>
    <d v="2025-02-10T00:00:00"/>
    <x v="0"/>
  </r>
  <r>
    <s v="P171"/>
    <x v="1"/>
    <d v="2024-12-31T00:00:00"/>
    <x v="5"/>
    <s v="Explore the latest video on Myntra! Trendy styles await."/>
    <n v="1018"/>
    <n v="447"/>
    <n v="332"/>
    <n v="18324"/>
    <n v="18164"/>
    <n v="38"/>
    <s v="#MyntraSale,#MyntraFashion"/>
    <x v="3"/>
    <n v="9.81"/>
    <d v="2025-01-10T00:00:00"/>
    <d v="2025-02-10T00:00:00"/>
    <x v="2"/>
  </r>
  <r>
    <s v="P172"/>
    <x v="3"/>
    <d v="2024-08-14T00:00:00"/>
    <x v="3"/>
    <s v="Explore the latest carousel on Myntra! Trendy styles await."/>
    <n v="3073"/>
    <n v="553"/>
    <n v="174"/>
    <n v="52241"/>
    <n v="51605"/>
    <n v="246"/>
    <s v="#MyntraFashion,#StyleWithMyntra"/>
    <x v="3"/>
    <n v="7.27"/>
    <d v="2025-01-10T00:00:00"/>
    <d v="2025-02-10T00:00:00"/>
    <x v="2"/>
  </r>
  <r>
    <s v="P173"/>
    <x v="0"/>
    <d v="2024-12-05T00:00:00"/>
    <x v="5"/>
    <s v="Explore the latest video on Myntra! Trendy styles await."/>
    <n v="1330"/>
    <n v="925"/>
    <n v="35"/>
    <n v="15960"/>
    <n v="15379"/>
    <n v="229"/>
    <s v="#FashionDeals,#MyntraTrend"/>
    <x v="3"/>
    <n v="14.35"/>
    <d v="2025-01-10T00:00:00"/>
    <d v="2025-02-10T00:00:00"/>
    <x v="2"/>
  </r>
  <r>
    <s v="P174"/>
    <x v="3"/>
    <d v="2024-06-22T00:00:00"/>
    <x v="2"/>
    <s v="Explore the latest text on Myntra! Trendy styles await."/>
    <n v="3828"/>
    <n v="148"/>
    <n v="253"/>
    <n v="30624"/>
    <n v="30229"/>
    <n v="235"/>
    <s v="#MyntraSale,#StyleWithMyntra"/>
    <x v="3"/>
    <n v="13.81"/>
    <d v="2025-01-10T00:00:00"/>
    <d v="2025-02-10T00:00:00"/>
    <x v="2"/>
  </r>
  <r>
    <s v="P175"/>
    <x v="2"/>
    <d v="2025-01-17T00:00:00"/>
    <x v="0"/>
    <s v="Explore the latest reel on Myntra! Trendy styles await."/>
    <n v="142"/>
    <n v="784"/>
    <n v="183"/>
    <n v="1704"/>
    <n v="995"/>
    <n v="154"/>
    <s v="#MyntraSale"/>
    <x v="0"/>
    <n v="65.08"/>
    <d v="2024-08-01T00:00:00"/>
    <d v="2024-08-31T00:00:00"/>
    <x v="0"/>
  </r>
  <r>
    <s v="P176"/>
    <x v="3"/>
    <d v="2024-06-20T00:00:00"/>
    <x v="5"/>
    <s v="Explore the latest video on Myntra! Trendy styles await."/>
    <n v="3798"/>
    <n v="31"/>
    <n v="279"/>
    <n v="75960"/>
    <n v="75813"/>
    <n v="266"/>
    <s v="#MyntraFashion"/>
    <x v="1"/>
    <n v="5.41"/>
    <d v="2024-06-10T00:00:00"/>
    <d v="2024-07-05T00:00:00"/>
    <x v="1"/>
  </r>
  <r>
    <s v="P177"/>
    <x v="2"/>
    <d v="2024-07-10T00:00:00"/>
    <x v="3"/>
    <s v="Explore the latest carousel on Myntra! Trendy styles await."/>
    <n v="3099"/>
    <n v="694"/>
    <n v="171"/>
    <n v="43386"/>
    <n v="42921"/>
    <n v="52"/>
    <s v="#FashionDeals"/>
    <x v="3"/>
    <n v="9.14"/>
    <d v="2025-01-10T00:00:00"/>
    <d v="2025-02-10T00:00:00"/>
    <x v="2"/>
  </r>
  <r>
    <s v="P178"/>
    <x v="2"/>
    <d v="2024-11-07T00:00:00"/>
    <x v="5"/>
    <s v="Explore the latest video on Myntra! Trendy styles await."/>
    <n v="129"/>
    <n v="643"/>
    <n v="136"/>
    <n v="1290"/>
    <n v="839"/>
    <n v="238"/>
    <s v="#StyleWithMyntra,#FashionDeals"/>
    <x v="3"/>
    <n v="70.39"/>
    <d v="2025-01-10T00:00:00"/>
    <d v="2025-02-10T00:00:00"/>
    <x v="2"/>
  </r>
  <r>
    <s v="P179"/>
    <x v="3"/>
    <d v="2024-07-15T00:00:00"/>
    <x v="3"/>
    <s v="Explore the latest carousel on Myntra! Trendy styles await."/>
    <n v="3796"/>
    <n v="667"/>
    <n v="395"/>
    <n v="64532"/>
    <n v="63550"/>
    <n v="292"/>
    <s v="#StyleWithMyntra"/>
    <x v="0"/>
    <n v="7.53"/>
    <d v="2024-08-01T00:00:00"/>
    <d v="2024-08-31T00:00:00"/>
    <x v="2"/>
  </r>
  <r>
    <s v="P180"/>
    <x v="1"/>
    <d v="2024-12-03T00:00:00"/>
    <x v="2"/>
    <s v="Explore the latest text on Myntra! Trendy styles await."/>
    <n v="3711"/>
    <n v="352"/>
    <n v="290"/>
    <n v="48243"/>
    <n v="47579"/>
    <n v="11"/>
    <s v="#StyleWithMyntra,#FashionDeals"/>
    <x v="3"/>
    <n v="9.02"/>
    <d v="2025-01-10T00:00:00"/>
    <d v="2025-02-10T00:00:00"/>
    <x v="2"/>
  </r>
  <r>
    <s v="P181"/>
    <x v="1"/>
    <d v="2025-03-21T00:00:00"/>
    <x v="4"/>
    <s v="Explore the latest image on Myntra! Trendy styles await."/>
    <n v="606"/>
    <n v="789"/>
    <n v="470"/>
    <n v="7878"/>
    <n v="7389"/>
    <n v="239"/>
    <s v="#MyntraSale"/>
    <x v="1"/>
    <n v="23.67"/>
    <d v="2024-06-10T00:00:00"/>
    <d v="2024-07-05T00:00:00"/>
    <x v="0"/>
  </r>
  <r>
    <s v="P182"/>
    <x v="3"/>
    <d v="2024-07-31T00:00:00"/>
    <x v="4"/>
    <s v="Explore the latest image on Myntra! Trendy styles await."/>
    <n v="4689"/>
    <n v="134"/>
    <n v="403"/>
    <n v="51579"/>
    <n v="50924"/>
    <n v="173"/>
    <s v="#FashionDeals"/>
    <x v="0"/>
    <n v="10.130000000000001"/>
    <d v="2024-08-01T00:00:00"/>
    <d v="2024-08-31T00:00:00"/>
    <x v="2"/>
  </r>
  <r>
    <s v="P183"/>
    <x v="2"/>
    <d v="2024-12-17T00:00:00"/>
    <x v="1"/>
    <s v="Explore the latest story on Myntra! Trendy styles await."/>
    <n v="360"/>
    <n v="590"/>
    <n v="393"/>
    <n v="4680"/>
    <n v="4322"/>
    <n v="208"/>
    <s v="#StyleWithMyntra,#FashionDeals"/>
    <x v="1"/>
    <n v="28.7"/>
    <d v="2024-06-10T00:00:00"/>
    <d v="2024-07-05T00:00:00"/>
    <x v="0"/>
  </r>
  <r>
    <s v="P184"/>
    <x v="0"/>
    <d v="2024-07-28T00:00:00"/>
    <x v="4"/>
    <s v="Explore the latest image on Myntra! Trendy styles await."/>
    <n v="3215"/>
    <n v="960"/>
    <n v="202"/>
    <n v="32150"/>
    <n v="31404"/>
    <n v="251"/>
    <s v="#StyleWithMyntra"/>
    <x v="2"/>
    <n v="13.61"/>
    <d v="2024-10-05T00:00:00"/>
    <d v="2024-11-05T00:00:00"/>
    <x v="2"/>
  </r>
  <r>
    <s v="P185"/>
    <x v="2"/>
    <d v="2025-01-11T00:00:00"/>
    <x v="3"/>
    <s v="Explore the latest carousel on Myntra! Trendy styles await."/>
    <n v="4523"/>
    <n v="61"/>
    <n v="157"/>
    <n v="49753"/>
    <n v="49329"/>
    <n v="71"/>
    <s v="#MyntraSale,#MyntraTrend"/>
    <x v="3"/>
    <n v="9.5299999999999994"/>
    <d v="2025-01-10T00:00:00"/>
    <d v="2025-02-10T00:00:00"/>
    <x v="1"/>
  </r>
  <r>
    <s v="P186"/>
    <x v="3"/>
    <d v="2024-08-24T00:00:00"/>
    <x v="3"/>
    <s v="Explore the latest carousel on Myntra! Trendy styles await."/>
    <n v="4292"/>
    <n v="51"/>
    <n v="392"/>
    <n v="55796"/>
    <n v="54826"/>
    <n v="264"/>
    <s v="#MyntraTrend,#StyleWithMyntra"/>
    <x v="0"/>
    <n v="8.49"/>
    <d v="2024-08-01T00:00:00"/>
    <d v="2024-08-31T00:00:00"/>
    <x v="1"/>
  </r>
  <r>
    <s v="P187"/>
    <x v="0"/>
    <d v="2024-12-22T00:00:00"/>
    <x v="0"/>
    <s v="Explore the latest reel on Myntra! Trendy styles await."/>
    <n v="1644"/>
    <n v="546"/>
    <n v="150"/>
    <n v="27948"/>
    <n v="27184"/>
    <n v="300"/>
    <s v="#MyntraSale,#MyntraTrend"/>
    <x v="0"/>
    <n v="8.3699999999999992"/>
    <d v="2024-08-01T00:00:00"/>
    <d v="2024-08-31T00:00:00"/>
    <x v="0"/>
  </r>
  <r>
    <s v="P188"/>
    <x v="1"/>
    <d v="2024-06-06T00:00:00"/>
    <x v="0"/>
    <s v="Explore the latest reel on Myntra! Trendy styles await."/>
    <n v="2728"/>
    <n v="533"/>
    <n v="215"/>
    <n v="40920"/>
    <n v="40816"/>
    <n v="137"/>
    <s v="#MyntraSale"/>
    <x v="1"/>
    <n v="8.49"/>
    <d v="2024-06-10T00:00:00"/>
    <d v="2024-07-05T00:00:00"/>
    <x v="2"/>
  </r>
  <r>
    <s v="P189"/>
    <x v="3"/>
    <d v="2025-03-24T00:00:00"/>
    <x v="0"/>
    <s v="Explore the latest reel on Myntra! Trendy styles await."/>
    <n v="3360"/>
    <n v="525"/>
    <n v="500"/>
    <n v="60480"/>
    <n v="59610"/>
    <n v="192"/>
    <s v="#MyntraSale,#StyleWithMyntra"/>
    <x v="0"/>
    <n v="7.25"/>
    <d v="2024-08-01T00:00:00"/>
    <d v="2024-08-31T00:00:00"/>
    <x v="0"/>
  </r>
  <r>
    <s v="P190"/>
    <x v="1"/>
    <d v="2024-10-04T00:00:00"/>
    <x v="2"/>
    <s v="Explore the latest text on Myntra! Trendy styles await."/>
    <n v="1963"/>
    <n v="213"/>
    <n v="19"/>
    <n v="39260"/>
    <n v="38771"/>
    <n v="145"/>
    <s v="#StyleWithMyntra"/>
    <x v="0"/>
    <n v="5.59"/>
    <d v="2024-08-01T00:00:00"/>
    <d v="2024-08-31T00:00:00"/>
    <x v="0"/>
  </r>
  <r>
    <s v="P191"/>
    <x v="1"/>
    <d v="2024-12-03T00:00:00"/>
    <x v="1"/>
    <s v="Explore the latest story on Myntra! Trendy styles await."/>
    <n v="4285"/>
    <n v="886"/>
    <n v="376"/>
    <n v="55705"/>
    <n v="55556"/>
    <n v="51"/>
    <s v="#MyntraFashion,#FashionDeals"/>
    <x v="3"/>
    <n v="9.9600000000000009"/>
    <d v="2025-01-10T00:00:00"/>
    <d v="2025-02-10T00:00:00"/>
    <x v="2"/>
  </r>
  <r>
    <s v="P192"/>
    <x v="2"/>
    <d v="2024-11-29T00:00:00"/>
    <x v="5"/>
    <s v="Explore the latest video on Myntra! Trendy styles await."/>
    <n v="1176"/>
    <n v="464"/>
    <n v="394"/>
    <n v="14112"/>
    <n v="13588"/>
    <n v="272"/>
    <s v="#FashionDeals"/>
    <x v="0"/>
    <n v="14.41"/>
    <d v="2024-08-01T00:00:00"/>
    <d v="2024-08-31T00:00:00"/>
    <x v="0"/>
  </r>
  <r>
    <s v="P193"/>
    <x v="0"/>
    <d v="2024-09-11T00:00:00"/>
    <x v="4"/>
    <s v="Explore the latest image on Myntra! Trendy styles await."/>
    <n v="4858"/>
    <n v="317"/>
    <n v="129"/>
    <n v="53438"/>
    <n v="52687"/>
    <n v="223"/>
    <s v="#FashionDeals,#MyntraTrend"/>
    <x v="0"/>
    <n v="9.93"/>
    <d v="2024-08-01T00:00:00"/>
    <d v="2024-08-31T00:00:00"/>
    <x v="0"/>
  </r>
  <r>
    <s v="P194"/>
    <x v="1"/>
    <d v="2024-10-02T00:00:00"/>
    <x v="1"/>
    <s v="Explore the latest story on Myntra! Trendy styles await."/>
    <n v="4350"/>
    <n v="771"/>
    <n v="7"/>
    <n v="60900"/>
    <n v="60592"/>
    <n v="195"/>
    <s v="#FashionDeals,#StyleWithMyntra"/>
    <x v="1"/>
    <n v="8.42"/>
    <d v="2024-06-10T00:00:00"/>
    <d v="2024-07-05T00:00:00"/>
    <x v="0"/>
  </r>
  <r>
    <s v="P195"/>
    <x v="2"/>
    <d v="2024-08-15T00:00:00"/>
    <x v="3"/>
    <s v="Explore the latest carousel on Myntra! Trendy styles await."/>
    <n v="914"/>
    <n v="464"/>
    <n v="246"/>
    <n v="11882"/>
    <n v="11500"/>
    <n v="282"/>
    <s v="#MyntraFashion,#MyntraTrend"/>
    <x v="2"/>
    <n v="13.67"/>
    <d v="2024-10-05T00:00:00"/>
    <d v="2024-11-05T00:00:00"/>
    <x v="2"/>
  </r>
  <r>
    <s v="P196"/>
    <x v="2"/>
    <d v="2024-12-19T00:00:00"/>
    <x v="2"/>
    <s v="Explore the latest text on Myntra! Trendy styles await."/>
    <n v="1813"/>
    <n v="623"/>
    <n v="72"/>
    <n v="19943"/>
    <n v="18959"/>
    <n v="85"/>
    <s v="#MyntraTrend,#MyntraFashion"/>
    <x v="2"/>
    <n v="12.58"/>
    <d v="2024-10-05T00:00:00"/>
    <d v="2024-11-05T00:00:00"/>
    <x v="0"/>
  </r>
  <r>
    <s v="P197"/>
    <x v="0"/>
    <d v="2024-10-22T00:00:00"/>
    <x v="0"/>
    <s v="Explore the latest reel on Myntra! Trendy styles await."/>
    <n v="4782"/>
    <n v="721"/>
    <n v="82"/>
    <n v="86076"/>
    <n v="85339"/>
    <n v="19"/>
    <s v="#FashionDeals"/>
    <x v="1"/>
    <n v="6.49"/>
    <d v="2024-06-10T00:00:00"/>
    <d v="2024-07-05T00:00:00"/>
    <x v="0"/>
  </r>
  <r>
    <s v="P198"/>
    <x v="0"/>
    <d v="2024-09-14T00:00:00"/>
    <x v="4"/>
    <s v="Explore the latest image on Myntra! Trendy styles await."/>
    <n v="1048"/>
    <n v="374"/>
    <n v="450"/>
    <n v="9432"/>
    <n v="8882"/>
    <n v="158"/>
    <s v="#MyntraTrend,#MyntraSale"/>
    <x v="1"/>
    <n v="19.850000000000001"/>
    <d v="2024-06-10T00:00:00"/>
    <d v="2024-07-05T00:00:00"/>
    <x v="0"/>
  </r>
  <r>
    <s v="P199"/>
    <x v="1"/>
    <d v="2024-11-30T00:00:00"/>
    <x v="3"/>
    <s v="Explore the latest carousel on Myntra! Trendy styles await."/>
    <n v="2509"/>
    <n v="324"/>
    <n v="171"/>
    <n v="35126"/>
    <n v="34685"/>
    <n v="277"/>
    <s v="#FashionDeals"/>
    <x v="1"/>
    <n v="8.5500000000000007"/>
    <d v="2024-06-10T00:00:00"/>
    <d v="2024-07-05T00:00:00"/>
    <x v="0"/>
  </r>
  <r>
    <s v="P200"/>
    <x v="3"/>
    <d v="2025-04-07T00:00:00"/>
    <x v="0"/>
    <s v="Explore the latest reel on Myntra! Trendy styles await."/>
    <n v="3718"/>
    <n v="385"/>
    <n v="310"/>
    <n v="70642"/>
    <n v="69749"/>
    <n v="233"/>
    <s v="#MyntraTrend"/>
    <x v="0"/>
    <n v="6.25"/>
    <d v="2024-08-01T00:00:00"/>
    <d v="2024-08-31T00:00:00"/>
    <x v="0"/>
  </r>
  <r>
    <s v="P201"/>
    <x v="0"/>
    <d v="2025-01-15T00:00:00"/>
    <x v="0"/>
    <s v="Explore the latest reel on Myntra! Trendy styles await."/>
    <n v="802"/>
    <n v="262"/>
    <n v="244"/>
    <n v="14436"/>
    <n v="14280"/>
    <n v="49"/>
    <s v="#MyntraSale,#FashionDeals"/>
    <x v="3"/>
    <n v="9.06"/>
    <d v="2025-01-10T00:00:00"/>
    <d v="2025-02-10T00:00:00"/>
    <x v="1"/>
  </r>
  <r>
    <s v="P202"/>
    <x v="3"/>
    <d v="2024-06-02T00:00:00"/>
    <x v="4"/>
    <s v="Explore the latest image on Myntra! Trendy styles await."/>
    <n v="1871"/>
    <n v="252"/>
    <n v="335"/>
    <n v="29936"/>
    <n v="29576"/>
    <n v="288"/>
    <s v="#MyntraTrend"/>
    <x v="1"/>
    <n v="8.2100000000000009"/>
    <d v="2024-06-10T00:00:00"/>
    <d v="2024-07-05T00:00:00"/>
    <x v="2"/>
  </r>
  <r>
    <s v="P203"/>
    <x v="2"/>
    <d v="2024-11-21T00:00:00"/>
    <x v="3"/>
    <s v="Explore the latest carousel on Myntra! Trendy styles await."/>
    <n v="3773"/>
    <n v="299"/>
    <n v="38"/>
    <n v="71687"/>
    <n v="71447"/>
    <n v="286"/>
    <s v="#MyntraTrend"/>
    <x v="3"/>
    <n v="5.73"/>
    <d v="2025-01-10T00:00:00"/>
    <d v="2025-02-10T00:00:00"/>
    <x v="2"/>
  </r>
  <r>
    <s v="P204"/>
    <x v="2"/>
    <d v="2025-01-01T00:00:00"/>
    <x v="3"/>
    <s v="Explore the latest carousel on Myntra! Trendy styles await."/>
    <n v="2234"/>
    <n v="653"/>
    <n v="432"/>
    <n v="11170"/>
    <n v="10569"/>
    <n v="198"/>
    <s v="#FashionDeals,#StyleWithMyntra"/>
    <x v="3"/>
    <n v="29.71"/>
    <d v="2025-01-10T00:00:00"/>
    <d v="2025-02-10T00:00:00"/>
    <x v="2"/>
  </r>
  <r>
    <s v="P205"/>
    <x v="0"/>
    <d v="2025-04-24T00:00:00"/>
    <x v="5"/>
    <s v="Explore the latest video on Myntra! Trendy styles await."/>
    <n v="3820"/>
    <n v="697"/>
    <n v="268"/>
    <n v="45840"/>
    <n v="45631"/>
    <n v="171"/>
    <s v="#StyleWithMyntra,#FashionDeals"/>
    <x v="0"/>
    <n v="10.44"/>
    <d v="2024-08-01T00:00:00"/>
    <d v="2024-08-31T00:00:00"/>
    <x v="0"/>
  </r>
  <r>
    <s v="P206"/>
    <x v="0"/>
    <d v="2024-06-24T00:00:00"/>
    <x v="2"/>
    <s v="Explore the latest text on Myntra! Trendy styles await."/>
    <n v="941"/>
    <n v="121"/>
    <n v="458"/>
    <n v="14115"/>
    <n v="13838"/>
    <n v="87"/>
    <s v="#MyntraFashion,#MyntraSale"/>
    <x v="1"/>
    <n v="10.77"/>
    <d v="2024-06-10T00:00:00"/>
    <d v="2024-07-05T00:00:00"/>
    <x v="1"/>
  </r>
  <r>
    <s v="P207"/>
    <x v="0"/>
    <d v="2024-12-29T00:00:00"/>
    <x v="3"/>
    <s v="Explore the latest carousel on Myntra! Trendy styles await."/>
    <n v="4274"/>
    <n v="340"/>
    <n v="281"/>
    <n v="34192"/>
    <n v="33446"/>
    <n v="129"/>
    <s v="#StyleWithMyntra,#FashionDeals"/>
    <x v="2"/>
    <n v="14.32"/>
    <d v="2024-10-05T00:00:00"/>
    <d v="2024-11-05T00:00:00"/>
    <x v="0"/>
  </r>
  <r>
    <s v="P208"/>
    <x v="1"/>
    <d v="2024-06-24T00:00:00"/>
    <x v="5"/>
    <s v="Explore the latest video on Myntra! Trendy styles await."/>
    <n v="2949"/>
    <n v="476"/>
    <n v="403"/>
    <n v="44235"/>
    <n v="43705"/>
    <n v="135"/>
    <s v="#MyntraTrend,#FashionDeals"/>
    <x v="0"/>
    <n v="8.65"/>
    <d v="2024-08-01T00:00:00"/>
    <d v="2024-08-31T00:00:00"/>
    <x v="2"/>
  </r>
  <r>
    <s v="P209"/>
    <x v="0"/>
    <d v="2025-03-19T00:00:00"/>
    <x v="5"/>
    <s v="Explore the latest video on Myntra! Trendy styles await."/>
    <n v="3160"/>
    <n v="204"/>
    <n v="297"/>
    <n v="44240"/>
    <n v="43666"/>
    <n v="49"/>
    <s v="#StyleWithMyntra,#MyntraTrend"/>
    <x v="0"/>
    <n v="8.2799999999999994"/>
    <d v="2024-08-01T00:00:00"/>
    <d v="2024-08-31T00:00:00"/>
    <x v="0"/>
  </r>
  <r>
    <s v="P210"/>
    <x v="1"/>
    <d v="2025-02-19T00:00:00"/>
    <x v="4"/>
    <s v="Explore the latest image on Myntra! Trendy styles await."/>
    <n v="257"/>
    <n v="966"/>
    <n v="398"/>
    <n v="3341"/>
    <n v="2753"/>
    <n v="287"/>
    <s v="#MyntraTrend,#MyntraSale"/>
    <x v="0"/>
    <n v="48.52"/>
    <d v="2024-08-01T00:00:00"/>
    <d v="2024-08-31T00:00:00"/>
    <x v="0"/>
  </r>
  <r>
    <s v="P211"/>
    <x v="0"/>
    <d v="2024-07-18T00:00:00"/>
    <x v="3"/>
    <s v="Explore the latest carousel on Myntra! Trendy styles await."/>
    <n v="2120"/>
    <n v="38"/>
    <n v="212"/>
    <n v="12720"/>
    <n v="12564"/>
    <n v="21"/>
    <s v="#MyntraTrend,#MyntraSale"/>
    <x v="0"/>
    <n v="18.63"/>
    <d v="2024-08-01T00:00:00"/>
    <d v="2024-08-31T00:00:00"/>
    <x v="2"/>
  </r>
  <r>
    <s v="P212"/>
    <x v="1"/>
    <d v="2025-03-03T00:00:00"/>
    <x v="5"/>
    <s v="Explore the latest video on Myntra! Trendy styles await."/>
    <n v="3874"/>
    <n v="884"/>
    <n v="19"/>
    <n v="38740"/>
    <n v="38552"/>
    <n v="219"/>
    <s v="#StyleWithMyntra"/>
    <x v="3"/>
    <n v="12.33"/>
    <d v="2025-01-10T00:00:00"/>
    <d v="2025-02-10T00:00:00"/>
    <x v="0"/>
  </r>
  <r>
    <s v="P213"/>
    <x v="3"/>
    <d v="2025-05-01T00:00:00"/>
    <x v="3"/>
    <s v="Explore the latest carousel on Myntra! Trendy styles await."/>
    <n v="2696"/>
    <n v="628"/>
    <n v="443"/>
    <n v="45832"/>
    <n v="45632"/>
    <n v="248"/>
    <s v="#MyntraSale"/>
    <x v="2"/>
    <n v="8.2200000000000006"/>
    <d v="2024-10-05T00:00:00"/>
    <d v="2024-11-05T00:00:00"/>
    <x v="0"/>
  </r>
  <r>
    <s v="P214"/>
    <x v="2"/>
    <d v="2024-12-23T00:00:00"/>
    <x v="4"/>
    <s v="Explore the latest image on Myntra! Trendy styles await."/>
    <n v="521"/>
    <n v="746"/>
    <n v="315"/>
    <n v="4168"/>
    <n v="3399"/>
    <n v="282"/>
    <s v="#MyntraSale"/>
    <x v="0"/>
    <n v="37.96"/>
    <d v="2024-08-01T00:00:00"/>
    <d v="2024-08-31T00:00:00"/>
    <x v="0"/>
  </r>
  <r>
    <s v="P215"/>
    <x v="3"/>
    <d v="2025-05-06T00:00:00"/>
    <x v="4"/>
    <s v="Explore the latest image on Myntra! Trendy styles await."/>
    <n v="4872"/>
    <n v="925"/>
    <n v="176"/>
    <n v="82824"/>
    <n v="82543"/>
    <n v="89"/>
    <s v="#MyntraSale,#MyntraTrend"/>
    <x v="0"/>
    <n v="7.21"/>
    <d v="2024-08-01T00:00:00"/>
    <d v="2024-08-31T00:00:00"/>
    <x v="0"/>
  </r>
  <r>
    <s v="P216"/>
    <x v="1"/>
    <d v="2024-07-29T00:00:00"/>
    <x v="1"/>
    <s v="Explore the latest story on Myntra! Trendy styles await."/>
    <n v="1509"/>
    <n v="88"/>
    <n v="163"/>
    <n v="30180"/>
    <n v="29689"/>
    <n v="119"/>
    <s v="#MyntraTrend"/>
    <x v="0"/>
    <n v="5.83"/>
    <d v="2024-08-01T00:00:00"/>
    <d v="2024-08-31T00:00:00"/>
    <x v="2"/>
  </r>
  <r>
    <s v="P217"/>
    <x v="3"/>
    <d v="2024-12-03T00:00:00"/>
    <x v="4"/>
    <s v="Explore the latest image on Myntra! Trendy styles await."/>
    <n v="4606"/>
    <n v="931"/>
    <n v="230"/>
    <n v="92120"/>
    <n v="91440"/>
    <n v="56"/>
    <s v="#FashionDeals,#MyntraFashion"/>
    <x v="2"/>
    <n v="6.26"/>
    <d v="2024-10-05T00:00:00"/>
    <d v="2024-11-05T00:00:00"/>
    <x v="0"/>
  </r>
  <r>
    <s v="P218"/>
    <x v="3"/>
    <d v="2024-06-11T00:00:00"/>
    <x v="3"/>
    <s v="Explore the latest carousel on Myntra! Trendy styles await."/>
    <n v="1869"/>
    <n v="453"/>
    <n v="490"/>
    <n v="14952"/>
    <n v="14309"/>
    <n v="275"/>
    <s v="#FashionDeals,#StyleWithMyntra"/>
    <x v="0"/>
    <n v="18.809999999999999"/>
    <d v="2024-08-01T00:00:00"/>
    <d v="2024-08-31T00:00:00"/>
    <x v="2"/>
  </r>
  <r>
    <s v="P219"/>
    <x v="0"/>
    <d v="2025-01-28T00:00:00"/>
    <x v="0"/>
    <s v="Explore the latest reel on Myntra! Trendy styles await."/>
    <n v="1188"/>
    <n v="470"/>
    <n v="174"/>
    <n v="7128"/>
    <n v="6145"/>
    <n v="270"/>
    <s v="#StyleWithMyntra,#MyntraFashion"/>
    <x v="1"/>
    <n v="25.7"/>
    <d v="2024-06-10T00:00:00"/>
    <d v="2024-07-05T00:00:00"/>
    <x v="0"/>
  </r>
  <r>
    <s v="P220"/>
    <x v="2"/>
    <d v="2024-06-02T00:00:00"/>
    <x v="1"/>
    <s v="Explore the latest story on Myntra! Trendy styles await."/>
    <n v="84"/>
    <n v="897"/>
    <n v="85"/>
    <n v="588"/>
    <n v="8"/>
    <n v="12"/>
    <s v="#StyleWithMyntra"/>
    <x v="1"/>
    <n v="181.29"/>
    <d v="2024-06-10T00:00:00"/>
    <d v="2024-07-05T00:00:00"/>
    <x v="2"/>
  </r>
  <r>
    <s v="P221"/>
    <x v="3"/>
    <d v="2025-03-23T00:00:00"/>
    <x v="5"/>
    <s v="Explore the latest video on Myntra! Trendy styles await."/>
    <n v="4453"/>
    <n v="111"/>
    <n v="420"/>
    <n v="31171"/>
    <n v="30565"/>
    <n v="23"/>
    <s v="#MyntraTrend,#MyntraFashion"/>
    <x v="3"/>
    <n v="15.99"/>
    <d v="2025-01-10T00:00:00"/>
    <d v="2025-02-10T00:00:00"/>
    <x v="0"/>
  </r>
  <r>
    <s v="P222"/>
    <x v="3"/>
    <d v="2024-10-08T00:00:00"/>
    <x v="0"/>
    <s v="Explore the latest reel on Myntra! Trendy styles await."/>
    <n v="1814"/>
    <n v="653"/>
    <n v="363"/>
    <n v="25396"/>
    <n v="25286"/>
    <n v="39"/>
    <s v="#StyleWithMyntra"/>
    <x v="0"/>
    <n v="11.14"/>
    <d v="2024-08-01T00:00:00"/>
    <d v="2024-08-31T00:00:00"/>
    <x v="0"/>
  </r>
  <r>
    <s v="P223"/>
    <x v="0"/>
    <d v="2024-11-12T00:00:00"/>
    <x v="4"/>
    <s v="Explore the latest image on Myntra! Trendy styles await."/>
    <n v="3338"/>
    <n v="277"/>
    <n v="118"/>
    <n v="60084"/>
    <n v="59842"/>
    <n v="252"/>
    <s v="#StyleWithMyntra"/>
    <x v="0"/>
    <n v="6.21"/>
    <d v="2024-08-01T00:00:00"/>
    <d v="2024-08-31T00:00:00"/>
    <x v="0"/>
  </r>
  <r>
    <s v="P224"/>
    <x v="3"/>
    <d v="2025-05-13T00:00:00"/>
    <x v="4"/>
    <s v="Explore the latest image on Myntra! Trendy styles await."/>
    <n v="602"/>
    <n v="594"/>
    <n v="156"/>
    <n v="4214"/>
    <n v="3363"/>
    <n v="164"/>
    <s v="#MyntraSale"/>
    <x v="2"/>
    <n v="32.08"/>
    <d v="2024-10-05T00:00:00"/>
    <d v="2024-11-05T00:00:00"/>
    <x v="0"/>
  </r>
  <r>
    <s v="P225"/>
    <x v="0"/>
    <d v="2024-06-20T00:00:00"/>
    <x v="3"/>
    <s v="Explore the latest carousel on Myntra! Trendy styles await."/>
    <n v="4672"/>
    <n v="325"/>
    <n v="32"/>
    <n v="88768"/>
    <n v="87833"/>
    <n v="118"/>
    <s v="#FashionDeals,#MyntraSale"/>
    <x v="2"/>
    <n v="5.67"/>
    <d v="2024-10-05T00:00:00"/>
    <d v="2024-11-05T00:00:00"/>
    <x v="2"/>
  </r>
  <r>
    <s v="P226"/>
    <x v="2"/>
    <d v="2024-08-07T00:00:00"/>
    <x v="3"/>
    <s v="Explore the latest carousel on Myntra! Trendy styles await."/>
    <n v="1741"/>
    <n v="164"/>
    <n v="318"/>
    <n v="8705"/>
    <n v="8272"/>
    <n v="121"/>
    <s v="#MyntraSale"/>
    <x v="1"/>
    <n v="25.54"/>
    <d v="2024-06-10T00:00:00"/>
    <d v="2024-07-05T00:00:00"/>
    <x v="0"/>
  </r>
  <r>
    <s v="P227"/>
    <x v="2"/>
    <d v="2024-06-12T00:00:00"/>
    <x v="2"/>
    <s v="Explore the latest text on Myntra! Trendy styles await."/>
    <n v="246"/>
    <n v="149"/>
    <n v="130"/>
    <n v="4674"/>
    <n v="4390"/>
    <n v="217"/>
    <s v="#MyntraTrend,#FashionDeals"/>
    <x v="1"/>
    <n v="11.23"/>
    <d v="2024-06-10T00:00:00"/>
    <d v="2024-07-05T00:00:00"/>
    <x v="1"/>
  </r>
  <r>
    <s v="P228"/>
    <x v="2"/>
    <d v="2024-07-01T00:00:00"/>
    <x v="1"/>
    <s v="Explore the latest story on Myntra! Trendy styles await."/>
    <n v="4808"/>
    <n v="772"/>
    <n v="320"/>
    <n v="72120"/>
    <n v="71696"/>
    <n v="195"/>
    <s v="#MyntraTrend,#MyntraSale"/>
    <x v="3"/>
    <n v="8.18"/>
    <d v="2025-01-10T00:00:00"/>
    <d v="2025-02-10T00:00:00"/>
    <x v="2"/>
  </r>
  <r>
    <s v="P229"/>
    <x v="2"/>
    <d v="2024-07-03T00:00:00"/>
    <x v="3"/>
    <s v="Explore the latest carousel on Myntra! Trendy styles await."/>
    <n v="4799"/>
    <n v="694"/>
    <n v="289"/>
    <n v="43191"/>
    <n v="42228"/>
    <n v="118"/>
    <s v="#MyntraTrend"/>
    <x v="1"/>
    <n v="13.39"/>
    <d v="2024-06-10T00:00:00"/>
    <d v="2024-07-05T00:00:00"/>
    <x v="1"/>
  </r>
  <r>
    <s v="P230"/>
    <x v="3"/>
    <d v="2024-07-15T00:00:00"/>
    <x v="0"/>
    <s v="Explore the latest reel on Myntra! Trendy styles await."/>
    <n v="3663"/>
    <n v="17"/>
    <n v="295"/>
    <n v="51282"/>
    <n v="50567"/>
    <n v="84"/>
    <s v="#MyntraSale"/>
    <x v="0"/>
    <n v="7.75"/>
    <d v="2024-08-01T00:00:00"/>
    <d v="2024-08-31T00:00:00"/>
    <x v="2"/>
  </r>
  <r>
    <s v="P231"/>
    <x v="2"/>
    <d v="2025-05-01T00:00:00"/>
    <x v="2"/>
    <s v="Explore the latest text on Myntra! Trendy styles await."/>
    <n v="1430"/>
    <n v="376"/>
    <n v="33"/>
    <n v="21450"/>
    <n v="20509"/>
    <n v="251"/>
    <s v="#FashionDeals"/>
    <x v="2"/>
    <n v="8.57"/>
    <d v="2024-10-05T00:00:00"/>
    <d v="2024-11-05T00:00:00"/>
    <x v="0"/>
  </r>
  <r>
    <s v="P232"/>
    <x v="0"/>
    <d v="2025-04-29T00:00:00"/>
    <x v="1"/>
    <s v="Explore the latest story on Myntra! Trendy styles await."/>
    <n v="249"/>
    <n v="592"/>
    <n v="230"/>
    <n v="1494"/>
    <n v="1044"/>
    <n v="201"/>
    <s v="#MyntraFashion,#MyntraTrend"/>
    <x v="3"/>
    <n v="71.69"/>
    <d v="2025-01-10T00:00:00"/>
    <d v="2025-02-10T00:00:00"/>
    <x v="0"/>
  </r>
  <r>
    <s v="P233"/>
    <x v="3"/>
    <d v="2025-03-08T00:00:00"/>
    <x v="4"/>
    <s v="Explore the latest image on Myntra! Trendy styles await."/>
    <n v="2382"/>
    <n v="265"/>
    <n v="134"/>
    <n v="38112"/>
    <n v="37437"/>
    <n v="249"/>
    <s v="#FashionDeals,#MyntraTrend"/>
    <x v="1"/>
    <n v="7.3"/>
    <d v="2024-06-10T00:00:00"/>
    <d v="2024-07-05T00:00:00"/>
    <x v="0"/>
  </r>
  <r>
    <s v="P234"/>
    <x v="3"/>
    <d v="2024-06-01T00:00:00"/>
    <x v="2"/>
    <s v="Explore the latest text on Myntra! Trendy styles await."/>
    <n v="1272"/>
    <n v="465"/>
    <n v="99"/>
    <n v="24168"/>
    <n v="23719"/>
    <n v="42"/>
    <s v="#MyntraFashion,#FashionDeals"/>
    <x v="1"/>
    <n v="7.6"/>
    <d v="2024-06-10T00:00:00"/>
    <d v="2024-07-05T00:00:00"/>
    <x v="2"/>
  </r>
  <r>
    <s v="P235"/>
    <x v="3"/>
    <d v="2024-12-22T00:00:00"/>
    <x v="4"/>
    <s v="Explore the latest image on Myntra! Trendy styles await."/>
    <n v="3196"/>
    <n v="941"/>
    <n v="376"/>
    <n v="35156"/>
    <n v="34444"/>
    <n v="241"/>
    <s v="#StyleWithMyntra,#MyntraTrend"/>
    <x v="3"/>
    <n v="12.84"/>
    <d v="2025-01-10T00:00:00"/>
    <d v="2025-02-10T00:00:00"/>
    <x v="2"/>
  </r>
  <r>
    <s v="P236"/>
    <x v="3"/>
    <d v="2024-08-19T00:00:00"/>
    <x v="2"/>
    <s v="Explore the latest text on Myntra! Trendy styles await."/>
    <n v="1257"/>
    <n v="19"/>
    <n v="351"/>
    <n v="12570"/>
    <n v="11660"/>
    <n v="194"/>
    <s v="#StyleWithMyntra"/>
    <x v="0"/>
    <n v="12.94"/>
    <d v="2024-08-01T00:00:00"/>
    <d v="2024-08-31T00:00:00"/>
    <x v="1"/>
  </r>
  <r>
    <s v="P237"/>
    <x v="2"/>
    <d v="2024-10-22T00:00:00"/>
    <x v="1"/>
    <s v="Explore the latest story on Myntra! Trendy styles await."/>
    <n v="3770"/>
    <n v="917"/>
    <n v="129"/>
    <n v="71630"/>
    <n v="71322"/>
    <n v="76"/>
    <s v="#MyntraSale,#MyntraTrend"/>
    <x v="3"/>
    <n v="6.72"/>
    <d v="2025-01-10T00:00:00"/>
    <d v="2025-02-10T00:00:00"/>
    <x v="2"/>
  </r>
  <r>
    <s v="P238"/>
    <x v="0"/>
    <d v="2024-07-16T00:00:00"/>
    <x v="2"/>
    <s v="Explore the latest text on Myntra! Trendy styles await."/>
    <n v="4725"/>
    <n v="400"/>
    <n v="362"/>
    <n v="75600"/>
    <n v="74927"/>
    <n v="43"/>
    <s v="#MyntraTrend,#MyntraFashion"/>
    <x v="0"/>
    <n v="7.26"/>
    <d v="2024-08-01T00:00:00"/>
    <d v="2024-08-31T00:00:00"/>
    <x v="2"/>
  </r>
  <r>
    <s v="P239"/>
    <x v="1"/>
    <d v="2025-02-24T00:00:00"/>
    <x v="2"/>
    <s v="Explore the latest text on Myntra! Trendy styles await."/>
    <n v="4188"/>
    <n v="942"/>
    <n v="118"/>
    <n v="20940"/>
    <n v="20471"/>
    <n v="102"/>
    <s v="#StyleWithMyntra"/>
    <x v="1"/>
    <n v="25.06"/>
    <d v="2024-06-10T00:00:00"/>
    <d v="2024-07-05T00:00:00"/>
    <x v="0"/>
  </r>
  <r>
    <s v="P240"/>
    <x v="0"/>
    <d v="2024-08-26T00:00:00"/>
    <x v="3"/>
    <s v="Explore the latest carousel on Myntra! Trendy styles await."/>
    <n v="929"/>
    <n v="192"/>
    <n v="322"/>
    <n v="16722"/>
    <n v="15996"/>
    <n v="145"/>
    <s v="#MyntraFashion"/>
    <x v="2"/>
    <n v="8.6300000000000008"/>
    <d v="2024-10-05T00:00:00"/>
    <d v="2024-11-05T00:00:00"/>
    <x v="2"/>
  </r>
  <r>
    <s v="P241"/>
    <x v="3"/>
    <d v="2025-01-18T00:00:00"/>
    <x v="1"/>
    <s v="Explore the latest story on Myntra! Trendy styles await."/>
    <n v="4321"/>
    <n v="874"/>
    <n v="172"/>
    <n v="30247"/>
    <n v="29254"/>
    <n v="122"/>
    <s v="#MyntraSale,#MyntraFashion"/>
    <x v="2"/>
    <n v="17.739999999999998"/>
    <d v="2024-10-05T00:00:00"/>
    <d v="2024-11-05T00:00:00"/>
    <x v="0"/>
  </r>
  <r>
    <s v="P242"/>
    <x v="3"/>
    <d v="2024-07-07T00:00:00"/>
    <x v="0"/>
    <s v="Explore the latest reel on Myntra! Trendy styles await."/>
    <n v="4767"/>
    <n v="190"/>
    <n v="340"/>
    <n v="28602"/>
    <n v="28044"/>
    <n v="210"/>
    <s v="#FashionDeals"/>
    <x v="3"/>
    <n v="18.52"/>
    <d v="2025-01-10T00:00:00"/>
    <d v="2025-02-10T00:00:00"/>
    <x v="2"/>
  </r>
  <r>
    <s v="P243"/>
    <x v="0"/>
    <d v="2025-03-06T00:00:00"/>
    <x v="4"/>
    <s v="Explore the latest image on Myntra! Trendy styles await."/>
    <n v="3592"/>
    <n v="911"/>
    <n v="375"/>
    <n v="50288"/>
    <n v="49490"/>
    <n v="32"/>
    <s v="#StyleWithMyntra"/>
    <x v="1"/>
    <n v="9.6999999999999993"/>
    <d v="2024-06-10T00:00:00"/>
    <d v="2024-07-05T00:00:00"/>
    <x v="0"/>
  </r>
  <r>
    <s v="P244"/>
    <x v="1"/>
    <d v="2024-10-25T00:00:00"/>
    <x v="5"/>
    <s v="Explore the latest video on Myntra! Trendy styles await."/>
    <n v="4661"/>
    <n v="935"/>
    <n v="433"/>
    <n v="23305"/>
    <n v="22583"/>
    <n v="63"/>
    <s v="#StyleWithMyntra,#FashionDeals"/>
    <x v="0"/>
    <n v="25.87"/>
    <d v="2024-08-01T00:00:00"/>
    <d v="2024-08-31T00:00:00"/>
    <x v="0"/>
  </r>
  <r>
    <s v="P245"/>
    <x v="3"/>
    <d v="2025-01-12T00:00:00"/>
    <x v="0"/>
    <s v="Explore the latest reel on Myntra! Trendy styles await."/>
    <n v="4134"/>
    <n v="824"/>
    <n v="99"/>
    <n v="41340"/>
    <n v="41050"/>
    <n v="177"/>
    <s v="#MyntraFashion"/>
    <x v="1"/>
    <n v="12.23"/>
    <d v="2024-06-10T00:00:00"/>
    <d v="2024-07-05T00:00:00"/>
    <x v="0"/>
  </r>
  <r>
    <s v="P246"/>
    <x v="3"/>
    <d v="2024-10-11T00:00:00"/>
    <x v="4"/>
    <s v="Explore the latest image on Myntra! Trendy styles await."/>
    <n v="400"/>
    <n v="680"/>
    <n v="434"/>
    <n v="6400"/>
    <n v="5472"/>
    <n v="160"/>
    <s v="#MyntraSale,#MyntraTrend"/>
    <x v="1"/>
    <n v="23.66"/>
    <d v="2024-06-10T00:00:00"/>
    <d v="2024-07-05T00:00:00"/>
    <x v="0"/>
  </r>
  <r>
    <s v="P247"/>
    <x v="3"/>
    <d v="2024-08-27T00:00:00"/>
    <x v="0"/>
    <s v="Explore the latest reel on Myntra! Trendy styles await."/>
    <n v="3960"/>
    <n v="266"/>
    <n v="8"/>
    <n v="35640"/>
    <n v="34850"/>
    <n v="208"/>
    <s v="#MyntraTrend,#MyntraFashion"/>
    <x v="3"/>
    <n v="11.88"/>
    <d v="2025-01-10T00:00:00"/>
    <d v="2025-02-10T00:00:00"/>
    <x v="2"/>
  </r>
  <r>
    <s v="P248"/>
    <x v="3"/>
    <d v="2025-02-02T00:00:00"/>
    <x v="1"/>
    <s v="Explore the latest story on Myntra! Trendy styles await."/>
    <n v="886"/>
    <n v="126"/>
    <n v="153"/>
    <n v="4430"/>
    <n v="4037"/>
    <n v="212"/>
    <s v="#MyntraSale"/>
    <x v="2"/>
    <n v="26.3"/>
    <d v="2024-10-05T00:00:00"/>
    <d v="2024-11-05T00:00:00"/>
    <x v="0"/>
  </r>
  <r>
    <s v="P249"/>
    <x v="0"/>
    <d v="2024-07-18T00:00:00"/>
    <x v="4"/>
    <s v="Explore the latest image on Myntra! Trendy styles await."/>
    <n v="827"/>
    <n v="77"/>
    <n v="402"/>
    <n v="14886"/>
    <n v="14129"/>
    <n v="254"/>
    <s v="#StyleWithMyntra"/>
    <x v="1"/>
    <n v="8.77"/>
    <d v="2024-06-10T00:00:00"/>
    <d v="2024-07-05T00:00:00"/>
    <x v="0"/>
  </r>
  <r>
    <s v="P250"/>
    <x v="3"/>
    <d v="2024-06-22T00:00:00"/>
    <x v="0"/>
    <s v="Explore the latest reel on Myntra! Trendy styles await."/>
    <n v="3813"/>
    <n v="935"/>
    <n v="274"/>
    <n v="68634"/>
    <n v="68488"/>
    <n v="251"/>
    <s v="#FashionDeals,#MyntraTrend"/>
    <x v="0"/>
    <n v="7.32"/>
    <d v="2024-08-01T00:00:00"/>
    <d v="2024-08-31T00:00:00"/>
    <x v="2"/>
  </r>
  <r>
    <s v="P251"/>
    <x v="2"/>
    <d v="2025-03-27T00:00:00"/>
    <x v="3"/>
    <s v="Explore the latest carousel on Myntra! Trendy styles await."/>
    <n v="1377"/>
    <n v="796"/>
    <n v="387"/>
    <n v="22032"/>
    <n v="21869"/>
    <n v="189"/>
    <s v="#FashionDeals,#MyntraFashion"/>
    <x v="2"/>
    <n v="11.62"/>
    <d v="2024-10-05T00:00:00"/>
    <d v="2024-11-05T00:00:00"/>
    <x v="0"/>
  </r>
  <r>
    <s v="P252"/>
    <x v="3"/>
    <d v="2025-04-28T00:00:00"/>
    <x v="3"/>
    <s v="Explore the latest carousel on Myntra! Trendy styles await."/>
    <n v="2089"/>
    <n v="476"/>
    <n v="69"/>
    <n v="16712"/>
    <n v="16309"/>
    <n v="64"/>
    <s v="#StyleWithMyntra,#MyntraSale"/>
    <x v="0"/>
    <n v="15.76"/>
    <d v="2024-08-01T00:00:00"/>
    <d v="2024-08-31T00:00:00"/>
    <x v="0"/>
  </r>
  <r>
    <s v="P253"/>
    <x v="0"/>
    <d v="2024-08-03T00:00:00"/>
    <x v="0"/>
    <s v="Explore the latest reel on Myntra! Trendy styles await."/>
    <n v="3791"/>
    <n v="593"/>
    <n v="228"/>
    <n v="53074"/>
    <n v="52613"/>
    <n v="205"/>
    <s v="#StyleWithMyntra,#FashionDeals"/>
    <x v="0"/>
    <n v="8.69"/>
    <d v="2024-08-01T00:00:00"/>
    <d v="2024-08-31T00:00:00"/>
    <x v="1"/>
  </r>
  <r>
    <s v="P254"/>
    <x v="0"/>
    <d v="2025-01-14T00:00:00"/>
    <x v="4"/>
    <s v="Explore the latest image on Myntra! Trendy styles await."/>
    <n v="2692"/>
    <n v="115"/>
    <n v="64"/>
    <n v="21536"/>
    <n v="21120"/>
    <n v="224"/>
    <s v="#FashionDeals,#MyntraTrend"/>
    <x v="3"/>
    <n v="13.33"/>
    <d v="2025-01-10T00:00:00"/>
    <d v="2025-02-10T00:00:00"/>
    <x v="1"/>
  </r>
  <r>
    <s v="P255"/>
    <x v="3"/>
    <d v="2025-04-03T00:00:00"/>
    <x v="1"/>
    <s v="Explore the latest story on Myntra! Trendy styles await."/>
    <n v="3767"/>
    <n v="514"/>
    <n v="238"/>
    <n v="37670"/>
    <n v="36807"/>
    <n v="226"/>
    <s v="#StyleWithMyntra,#FashionDeals"/>
    <x v="0"/>
    <n v="12"/>
    <d v="2024-08-01T00:00:00"/>
    <d v="2024-08-31T00:00:00"/>
    <x v="0"/>
  </r>
  <r>
    <s v="P256"/>
    <x v="1"/>
    <d v="2024-09-18T00:00:00"/>
    <x v="3"/>
    <s v="Explore the latest carousel on Myntra! Trendy styles await."/>
    <n v="2143"/>
    <n v="12"/>
    <n v="204"/>
    <n v="40717"/>
    <n v="40125"/>
    <n v="248"/>
    <s v="#FashionDeals,#MyntraSale"/>
    <x v="3"/>
    <n v="5.79"/>
    <d v="2025-01-10T00:00:00"/>
    <d v="2025-02-10T00:00:00"/>
    <x v="2"/>
  </r>
  <r>
    <s v="P257"/>
    <x v="3"/>
    <d v="2025-04-06T00:00:00"/>
    <x v="4"/>
    <s v="Explore the latest image on Myntra! Trendy styles await."/>
    <n v="3090"/>
    <n v="697"/>
    <n v="164"/>
    <n v="49440"/>
    <n v="48524"/>
    <n v="25"/>
    <s v="#FashionDeals,#StyleWithMyntra"/>
    <x v="3"/>
    <n v="7.99"/>
    <d v="2025-01-10T00:00:00"/>
    <d v="2025-02-10T00:00:00"/>
    <x v="0"/>
  </r>
  <r>
    <s v="P258"/>
    <x v="2"/>
    <d v="2024-08-05T00:00:00"/>
    <x v="1"/>
    <s v="Explore the latest story on Myntra! Trendy styles await."/>
    <n v="3601"/>
    <n v="695"/>
    <n v="75"/>
    <n v="21606"/>
    <n v="21454"/>
    <n v="172"/>
    <s v="#StyleWithMyntra"/>
    <x v="1"/>
    <n v="20.23"/>
    <d v="2024-06-10T00:00:00"/>
    <d v="2024-07-05T00:00:00"/>
    <x v="0"/>
  </r>
  <r>
    <s v="P259"/>
    <x v="3"/>
    <d v="2025-02-10T00:00:00"/>
    <x v="2"/>
    <s v="Explore the latest text on Myntra! Trendy styles await."/>
    <n v="562"/>
    <n v="158"/>
    <n v="149"/>
    <n v="3372"/>
    <n v="2940"/>
    <n v="93"/>
    <s v="#FashionDeals,#MyntraSale"/>
    <x v="3"/>
    <n v="25.77"/>
    <d v="2025-01-10T00:00:00"/>
    <d v="2025-02-10T00:00:00"/>
    <x v="1"/>
  </r>
  <r>
    <s v="P260"/>
    <x v="2"/>
    <d v="2025-02-12T00:00:00"/>
    <x v="1"/>
    <s v="Explore the latest story on Myntra! Trendy styles await."/>
    <n v="4332"/>
    <n v="771"/>
    <n v="219"/>
    <n v="60648"/>
    <n v="60397"/>
    <n v="10"/>
    <s v="#MyntraFashion"/>
    <x v="2"/>
    <n v="8.7799999999999994"/>
    <d v="2024-10-05T00:00:00"/>
    <d v="2024-11-05T00:00:00"/>
    <x v="0"/>
  </r>
  <r>
    <s v="P261"/>
    <x v="2"/>
    <d v="2024-10-27T00:00:00"/>
    <x v="4"/>
    <s v="Explore the latest image on Myntra! Trendy styles await."/>
    <n v="4853"/>
    <n v="837"/>
    <n v="340"/>
    <n v="72795"/>
    <n v="72237"/>
    <n v="170"/>
    <s v="#MyntraSale"/>
    <x v="1"/>
    <n v="8.2799999999999994"/>
    <d v="2024-06-10T00:00:00"/>
    <d v="2024-07-05T00:00:00"/>
    <x v="0"/>
  </r>
  <r>
    <s v="P262"/>
    <x v="1"/>
    <d v="2025-01-18T00:00:00"/>
    <x v="4"/>
    <s v="Explore the latest image on Myntra! Trendy styles await."/>
    <n v="1206"/>
    <n v="238"/>
    <n v="36"/>
    <n v="9648"/>
    <n v="9417"/>
    <n v="237"/>
    <s v="#MyntraSale,#StyleWithMyntra"/>
    <x v="2"/>
    <n v="15.34"/>
    <d v="2024-10-05T00:00:00"/>
    <d v="2024-11-05T00:00:00"/>
    <x v="0"/>
  </r>
  <r>
    <s v="P263"/>
    <x v="2"/>
    <d v="2024-08-20T00:00:00"/>
    <x v="0"/>
    <s v="Explore the latest reel on Myntra! Trendy styles await."/>
    <n v="2603"/>
    <n v="690"/>
    <n v="205"/>
    <n v="13015"/>
    <n v="12130"/>
    <n v="20"/>
    <s v="#MyntraTrend"/>
    <x v="0"/>
    <n v="26.88"/>
    <d v="2024-08-01T00:00:00"/>
    <d v="2024-08-31T00:00:00"/>
    <x v="1"/>
  </r>
  <r>
    <s v="P264"/>
    <x v="0"/>
    <d v="2025-01-30T00:00:00"/>
    <x v="4"/>
    <s v="Explore the latest image on Myntra! Trendy styles await."/>
    <n v="59"/>
    <n v="163"/>
    <n v="93"/>
    <n v="590"/>
    <n v="475"/>
    <n v="293"/>
    <s v="#MyntraTrend"/>
    <x v="3"/>
    <n v="53.39"/>
    <d v="2025-01-10T00:00:00"/>
    <d v="2025-02-10T00:00:00"/>
    <x v="1"/>
  </r>
  <r>
    <s v="P265"/>
    <x v="0"/>
    <d v="2025-02-20T00:00:00"/>
    <x v="3"/>
    <s v="Explore the latest carousel on Myntra! Trendy styles await."/>
    <n v="1877"/>
    <n v="745"/>
    <n v="225"/>
    <n v="11262"/>
    <n v="10967"/>
    <n v="41"/>
    <s v="#StyleWithMyntra,#MyntraSale"/>
    <x v="0"/>
    <n v="25.28"/>
    <d v="2024-08-01T00:00:00"/>
    <d v="2024-08-31T00:00:00"/>
    <x v="0"/>
  </r>
  <r>
    <s v="P266"/>
    <x v="3"/>
    <d v="2024-11-25T00:00:00"/>
    <x v="1"/>
    <s v="Explore the latest story on Myntra! Trendy styles await."/>
    <n v="4182"/>
    <n v="640"/>
    <n v="240"/>
    <n v="50184"/>
    <n v="49351"/>
    <n v="10"/>
    <s v="#MyntraSale,#StyleWithMyntra"/>
    <x v="2"/>
    <n v="10.09"/>
    <d v="2024-10-05T00:00:00"/>
    <d v="2024-11-05T00:00:00"/>
    <x v="0"/>
  </r>
  <r>
    <s v="P267"/>
    <x v="0"/>
    <d v="2024-10-04T00:00:00"/>
    <x v="0"/>
    <s v="Explore the latest reel on Myntra! Trendy styles await."/>
    <n v="4187"/>
    <n v="66"/>
    <n v="31"/>
    <n v="66992"/>
    <n v="66614"/>
    <n v="62"/>
    <s v="#StyleWithMyntra"/>
    <x v="3"/>
    <n v="6.39"/>
    <d v="2025-01-10T00:00:00"/>
    <d v="2025-02-10T00:00:00"/>
    <x v="2"/>
  </r>
  <r>
    <s v="P268"/>
    <x v="2"/>
    <d v="2025-04-13T00:00:00"/>
    <x v="0"/>
    <s v="Explore the latest reel on Myntra! Trendy styles await."/>
    <n v="4579"/>
    <n v="125"/>
    <n v="300"/>
    <n v="59527"/>
    <n v="59400"/>
    <n v="269"/>
    <s v="#StyleWithMyntra,#MyntraFashion"/>
    <x v="0"/>
    <n v="8.41"/>
    <d v="2024-08-01T00:00:00"/>
    <d v="2024-08-31T00:00:00"/>
    <x v="0"/>
  </r>
  <r>
    <s v="P269"/>
    <x v="2"/>
    <d v="2024-11-05T00:00:00"/>
    <x v="5"/>
    <s v="Explore the latest video on Myntra! Trendy styles await."/>
    <n v="4561"/>
    <n v="51"/>
    <n v="441"/>
    <n v="22805"/>
    <n v="21890"/>
    <n v="45"/>
    <s v="#StyleWithMyntra"/>
    <x v="1"/>
    <n v="22.16"/>
    <d v="2024-06-10T00:00:00"/>
    <d v="2024-07-05T00:00:00"/>
    <x v="0"/>
  </r>
  <r>
    <s v="P270"/>
    <x v="1"/>
    <d v="2025-01-15T00:00:00"/>
    <x v="0"/>
    <s v="Explore the latest reel on Myntra! Trendy styles await."/>
    <n v="3774"/>
    <n v="239"/>
    <n v="39"/>
    <n v="60384"/>
    <n v="59490"/>
    <n v="241"/>
    <s v="#FashionDeals"/>
    <x v="2"/>
    <n v="6.71"/>
    <d v="2024-10-05T00:00:00"/>
    <d v="2024-11-05T00:00:00"/>
    <x v="0"/>
  </r>
  <r>
    <s v="P271"/>
    <x v="2"/>
    <d v="2024-10-17T00:00:00"/>
    <x v="5"/>
    <s v="Explore the latest video on Myntra! Trendy styles await."/>
    <n v="3575"/>
    <n v="749"/>
    <n v="111"/>
    <n v="21450"/>
    <n v="20785"/>
    <n v="195"/>
    <s v="#FashionDeals"/>
    <x v="2"/>
    <n v="20.68"/>
    <d v="2024-10-05T00:00:00"/>
    <d v="2024-11-05T00:00:00"/>
    <x v="1"/>
  </r>
  <r>
    <s v="P272"/>
    <x v="2"/>
    <d v="2025-03-27T00:00:00"/>
    <x v="2"/>
    <s v="Explore the latest text on Myntra! Trendy styles await."/>
    <n v="4941"/>
    <n v="414"/>
    <n v="266"/>
    <n v="39528"/>
    <n v="39154"/>
    <n v="217"/>
    <s v="#MyntraSale"/>
    <x v="1"/>
    <n v="14.22"/>
    <d v="2024-06-10T00:00:00"/>
    <d v="2024-07-05T00:00:00"/>
    <x v="0"/>
  </r>
  <r>
    <s v="P273"/>
    <x v="1"/>
    <d v="2024-10-12T00:00:00"/>
    <x v="1"/>
    <s v="Explore the latest story on Myntra! Trendy styles await."/>
    <n v="3641"/>
    <n v="226"/>
    <n v="46"/>
    <n v="40051"/>
    <n v="39319"/>
    <n v="296"/>
    <s v="#MyntraTrend"/>
    <x v="1"/>
    <n v="9.77"/>
    <d v="2024-06-10T00:00:00"/>
    <d v="2024-07-05T00:00:00"/>
    <x v="0"/>
  </r>
  <r>
    <s v="P274"/>
    <x v="0"/>
    <d v="2025-01-01T00:00:00"/>
    <x v="3"/>
    <s v="Explore the latest carousel on Myntra! Trendy styles await."/>
    <n v="3535"/>
    <n v="494"/>
    <n v="152"/>
    <n v="53025"/>
    <n v="52791"/>
    <n v="44"/>
    <s v="#MyntraTrend,#StyleWithMyntra"/>
    <x v="1"/>
    <n v="7.88"/>
    <d v="2024-06-10T00:00:00"/>
    <d v="2024-07-05T00:00:00"/>
    <x v="0"/>
  </r>
  <r>
    <s v="P275"/>
    <x v="3"/>
    <d v="2024-08-05T00:00:00"/>
    <x v="0"/>
    <s v="Explore the latest reel on Myntra! Trendy styles await."/>
    <n v="1741"/>
    <n v="831"/>
    <n v="345"/>
    <n v="17410"/>
    <n v="16844"/>
    <n v="58"/>
    <s v="#MyntraFashion,#FashionDeals"/>
    <x v="3"/>
    <n v="16.75"/>
    <d v="2025-01-10T00:00:00"/>
    <d v="2025-02-10T00:00:00"/>
    <x v="2"/>
  </r>
  <r>
    <s v="P276"/>
    <x v="0"/>
    <d v="2024-06-07T00:00:00"/>
    <x v="3"/>
    <s v="Explore the latest carousel on Myntra! Trendy styles await."/>
    <n v="1556"/>
    <n v="195"/>
    <n v="131"/>
    <n v="9336"/>
    <n v="8875"/>
    <n v="137"/>
    <s v="#MyntraFashion"/>
    <x v="1"/>
    <n v="20.16"/>
    <d v="2024-06-10T00:00:00"/>
    <d v="2024-07-05T00:00:00"/>
    <x v="2"/>
  </r>
  <r>
    <s v="P277"/>
    <x v="3"/>
    <d v="2025-04-06T00:00:00"/>
    <x v="4"/>
    <s v="Explore the latest image on Myntra! Trendy styles await."/>
    <n v="4236"/>
    <n v="711"/>
    <n v="298"/>
    <n v="21180"/>
    <n v="20516"/>
    <n v="238"/>
    <s v="#MyntraTrend,#MyntraSale"/>
    <x v="3"/>
    <n v="24.76"/>
    <d v="2025-01-10T00:00:00"/>
    <d v="2025-02-10T00:00:00"/>
    <x v="0"/>
  </r>
  <r>
    <s v="P278"/>
    <x v="0"/>
    <d v="2024-11-26T00:00:00"/>
    <x v="2"/>
    <s v="Explore the latest text on Myntra! Trendy styles await."/>
    <n v="4516"/>
    <n v="836"/>
    <n v="169"/>
    <n v="49676"/>
    <n v="49257"/>
    <n v="282"/>
    <s v="#MyntraTrend"/>
    <x v="0"/>
    <n v="11.11"/>
    <d v="2024-08-01T00:00:00"/>
    <d v="2024-08-31T00:00:00"/>
    <x v="0"/>
  </r>
  <r>
    <s v="P279"/>
    <x v="1"/>
    <d v="2024-09-02T00:00:00"/>
    <x v="4"/>
    <s v="Explore the latest image on Myntra! Trendy styles await."/>
    <n v="4905"/>
    <n v="845"/>
    <n v="129"/>
    <n v="98100"/>
    <n v="97772"/>
    <n v="279"/>
    <s v="#MyntraTrend"/>
    <x v="3"/>
    <n v="5.99"/>
    <d v="2025-01-10T00:00:00"/>
    <d v="2025-02-10T00:00:00"/>
    <x v="2"/>
  </r>
  <r>
    <s v="P280"/>
    <x v="1"/>
    <d v="2024-10-21T00:00:00"/>
    <x v="5"/>
    <s v="Explore the latest video on Myntra! Trendy styles await."/>
    <n v="4275"/>
    <n v="680"/>
    <n v="385"/>
    <n v="64125"/>
    <n v="63650"/>
    <n v="104"/>
    <s v="#StyleWithMyntra"/>
    <x v="3"/>
    <n v="8.33"/>
    <d v="2025-01-10T00:00:00"/>
    <d v="2025-02-10T00:00:00"/>
    <x v="2"/>
  </r>
  <r>
    <s v="P281"/>
    <x v="1"/>
    <d v="2025-03-22T00:00:00"/>
    <x v="4"/>
    <s v="Explore the latest image on Myntra! Trendy styles await."/>
    <n v="3166"/>
    <n v="90"/>
    <n v="341"/>
    <n v="56988"/>
    <n v="56125"/>
    <n v="135"/>
    <s v="#MyntraFashion,#StyleWithMyntra"/>
    <x v="1"/>
    <n v="6.31"/>
    <d v="2024-06-10T00:00:00"/>
    <d v="2024-07-05T00:00:00"/>
    <x v="0"/>
  </r>
  <r>
    <s v="P282"/>
    <x v="2"/>
    <d v="2024-10-03T00:00:00"/>
    <x v="5"/>
    <s v="Explore the latest video on Myntra! Trendy styles await."/>
    <n v="1488"/>
    <n v="417"/>
    <n v="168"/>
    <n v="19344"/>
    <n v="18395"/>
    <n v="30"/>
    <s v="#MyntraSale"/>
    <x v="0"/>
    <n v="10.72"/>
    <d v="2024-08-01T00:00:00"/>
    <d v="2024-08-31T00:00:00"/>
    <x v="0"/>
  </r>
  <r>
    <s v="P283"/>
    <x v="0"/>
    <d v="2025-05-09T00:00:00"/>
    <x v="0"/>
    <s v="Explore the latest reel on Myntra! Trendy styles await."/>
    <n v="3367"/>
    <n v="302"/>
    <n v="57"/>
    <n v="63973"/>
    <n v="63789"/>
    <n v="157"/>
    <s v="#MyntraTrend,#MyntraFashion"/>
    <x v="2"/>
    <n v="5.82"/>
    <d v="2024-10-05T00:00:00"/>
    <d v="2024-11-05T00:00:00"/>
    <x v="0"/>
  </r>
  <r>
    <s v="P284"/>
    <x v="0"/>
    <d v="2024-09-17T00:00:00"/>
    <x v="2"/>
    <s v="Explore the latest text on Myntra! Trendy styles await."/>
    <n v="571"/>
    <n v="190"/>
    <n v="352"/>
    <n v="9707"/>
    <n v="9418"/>
    <n v="231"/>
    <s v="#FashionDeals"/>
    <x v="1"/>
    <n v="11.47"/>
    <d v="2024-06-10T00:00:00"/>
    <d v="2024-07-05T00:00:00"/>
    <x v="0"/>
  </r>
  <r>
    <s v="P285"/>
    <x v="1"/>
    <d v="2024-07-18T00:00:00"/>
    <x v="2"/>
    <s v="Explore the latest text on Myntra! Trendy styles await."/>
    <n v="4021"/>
    <n v="794"/>
    <n v="77"/>
    <n v="36189"/>
    <n v="35505"/>
    <n v="174"/>
    <s v="#FashionDeals,#StyleWithMyntra"/>
    <x v="0"/>
    <n v="13.52"/>
    <d v="2024-08-01T00:00:00"/>
    <d v="2024-08-31T00:00:00"/>
    <x v="2"/>
  </r>
  <r>
    <s v="P286"/>
    <x v="1"/>
    <d v="2024-09-25T00:00:00"/>
    <x v="5"/>
    <s v="Explore the latest video on Myntra! Trendy styles await."/>
    <n v="3389"/>
    <n v="344"/>
    <n v="229"/>
    <n v="20334"/>
    <n v="19443"/>
    <n v="228"/>
    <s v="#MyntraFashion,#MyntraSale"/>
    <x v="1"/>
    <n v="19.48"/>
    <d v="2024-06-10T00:00:00"/>
    <d v="2024-07-05T00:00:00"/>
    <x v="0"/>
  </r>
  <r>
    <s v="P287"/>
    <x v="2"/>
    <d v="2024-08-15T00:00:00"/>
    <x v="0"/>
    <s v="Explore the latest reel on Myntra! Trendy styles await."/>
    <n v="1164"/>
    <n v="616"/>
    <n v="324"/>
    <n v="6984"/>
    <n v="6636"/>
    <n v="82"/>
    <s v="#MyntraFashion,#MyntraTrend"/>
    <x v="2"/>
    <n v="30.13"/>
    <d v="2024-10-05T00:00:00"/>
    <d v="2024-11-05T00:00:00"/>
    <x v="2"/>
  </r>
  <r>
    <s v="P288"/>
    <x v="1"/>
    <d v="2025-04-17T00:00:00"/>
    <x v="3"/>
    <s v="Explore the latest carousel on Myntra! Trendy styles await."/>
    <n v="4780"/>
    <n v="691"/>
    <n v="380"/>
    <n v="86040"/>
    <n v="85743"/>
    <n v="262"/>
    <s v="#MyntraFashion,#FashionDeals"/>
    <x v="2"/>
    <n v="6.8"/>
    <d v="2024-10-05T00:00:00"/>
    <d v="2024-11-05T00:00:00"/>
    <x v="0"/>
  </r>
  <r>
    <s v="P289"/>
    <x v="3"/>
    <d v="2024-11-28T00:00:00"/>
    <x v="3"/>
    <s v="Explore the latest carousel on Myntra! Trendy styles await."/>
    <n v="2751"/>
    <n v="33"/>
    <n v="430"/>
    <n v="44016"/>
    <n v="43415"/>
    <n v="129"/>
    <s v="#MyntraTrend,#StyleWithMyntra"/>
    <x v="1"/>
    <n v="7.3"/>
    <d v="2024-06-10T00:00:00"/>
    <d v="2024-07-05T00:00:00"/>
    <x v="0"/>
  </r>
  <r>
    <s v="P290"/>
    <x v="2"/>
    <d v="2024-12-20T00:00:00"/>
    <x v="3"/>
    <s v="Explore the latest carousel on Myntra! Trendy styles await."/>
    <n v="2107"/>
    <n v="550"/>
    <n v="349"/>
    <n v="35819"/>
    <n v="35340"/>
    <n v="191"/>
    <s v="#MyntraTrend"/>
    <x v="2"/>
    <n v="8.39"/>
    <d v="2024-10-05T00:00:00"/>
    <d v="2024-11-05T00:00:00"/>
    <x v="0"/>
  </r>
  <r>
    <s v="P291"/>
    <x v="3"/>
    <d v="2024-11-06T00:00:00"/>
    <x v="5"/>
    <s v="Explore the latest video on Myntra! Trendy styles await."/>
    <n v="4663"/>
    <n v="145"/>
    <n v="225"/>
    <n v="69945"/>
    <n v="69596"/>
    <n v="35"/>
    <s v="#MyntraFashion"/>
    <x v="1"/>
    <n v="7.2"/>
    <d v="2024-06-10T00:00:00"/>
    <d v="2024-07-05T00:00:00"/>
    <x v="0"/>
  </r>
  <r>
    <s v="P292"/>
    <x v="3"/>
    <d v="2024-11-17T00:00:00"/>
    <x v="2"/>
    <s v="Explore the latest text on Myntra! Trendy styles await."/>
    <n v="880"/>
    <n v="297"/>
    <n v="345"/>
    <n v="12320"/>
    <n v="11978"/>
    <n v="238"/>
    <s v="#MyntraSale"/>
    <x v="1"/>
    <n v="12.35"/>
    <d v="2024-06-10T00:00:00"/>
    <d v="2024-07-05T00:00:00"/>
    <x v="0"/>
  </r>
  <r>
    <s v="P293"/>
    <x v="3"/>
    <d v="2025-05-14T00:00:00"/>
    <x v="2"/>
    <s v="Explore the latest text on Myntra! Trendy styles await."/>
    <n v="2634"/>
    <n v="726"/>
    <n v="241"/>
    <n v="28974"/>
    <n v="28102"/>
    <n v="277"/>
    <s v="#StyleWithMyntra"/>
    <x v="2"/>
    <n v="12.43"/>
    <d v="2024-10-05T00:00:00"/>
    <d v="2024-11-05T00:00:00"/>
    <x v="0"/>
  </r>
  <r>
    <s v="P294"/>
    <x v="3"/>
    <d v="2024-06-19T00:00:00"/>
    <x v="3"/>
    <s v="Explore the latest carousel on Myntra! Trendy styles await."/>
    <n v="4731"/>
    <n v="173"/>
    <n v="276"/>
    <n v="28386"/>
    <n v="28185"/>
    <n v="89"/>
    <s v="#MyntraTrend,#MyntraFashion"/>
    <x v="3"/>
    <n v="18.25"/>
    <d v="2025-01-10T00:00:00"/>
    <d v="2025-02-10T00:00:00"/>
    <x v="2"/>
  </r>
  <r>
    <s v="P295"/>
    <x v="0"/>
    <d v="2025-05-06T00:00:00"/>
    <x v="4"/>
    <s v="Explore the latest image on Myntra! Trendy styles await."/>
    <n v="1952"/>
    <n v="344"/>
    <n v="287"/>
    <n v="15616"/>
    <n v="15403"/>
    <n v="235"/>
    <s v="#MyntraSale,#MyntraFashion"/>
    <x v="2"/>
    <n v="16.54"/>
    <d v="2024-10-05T00:00:00"/>
    <d v="2024-11-05T00:00:00"/>
    <x v="0"/>
  </r>
  <r>
    <s v="P296"/>
    <x v="0"/>
    <d v="2025-02-11T00:00:00"/>
    <x v="5"/>
    <s v="Explore the latest video on Myntra! Trendy styles await."/>
    <n v="3440"/>
    <n v="13"/>
    <n v="20"/>
    <n v="58480"/>
    <n v="58146"/>
    <n v="210"/>
    <s v="#MyntraFashion,#FashionDeals"/>
    <x v="0"/>
    <n v="5.94"/>
    <d v="2024-08-01T00:00:00"/>
    <d v="2024-08-31T00:00:00"/>
    <x v="0"/>
  </r>
  <r>
    <s v="P297"/>
    <x v="0"/>
    <d v="2024-12-24T00:00:00"/>
    <x v="2"/>
    <s v="Explore the latest text on Myntra! Trendy styles await."/>
    <n v="2166"/>
    <n v="354"/>
    <n v="117"/>
    <n v="10830"/>
    <n v="10245"/>
    <n v="24"/>
    <s v="#StyleWithMyntra,#MyntraTrend"/>
    <x v="0"/>
    <n v="24.35"/>
    <d v="2024-08-01T00:00:00"/>
    <d v="2024-08-31T00:00:00"/>
    <x v="0"/>
  </r>
  <r>
    <s v="P298"/>
    <x v="3"/>
    <d v="2024-10-24T00:00:00"/>
    <x v="4"/>
    <s v="Explore the latest image on Myntra! Trendy styles await."/>
    <n v="4303"/>
    <n v="451"/>
    <n v="286"/>
    <n v="86060"/>
    <n v="85823"/>
    <n v="14"/>
    <s v="#MyntraSale"/>
    <x v="1"/>
    <n v="5.86"/>
    <d v="2024-06-10T00:00:00"/>
    <d v="2024-07-05T00:00:00"/>
    <x v="0"/>
  </r>
  <r>
    <s v="P299"/>
    <x v="3"/>
    <d v="2024-08-26T00:00:00"/>
    <x v="4"/>
    <s v="Explore the latest image on Myntra! Trendy styles await."/>
    <n v="2581"/>
    <n v="517"/>
    <n v="117"/>
    <n v="23229"/>
    <n v="22331"/>
    <n v="70"/>
    <s v="#MyntraSale,#StyleWithMyntra"/>
    <x v="1"/>
    <n v="13.84"/>
    <d v="2024-06-10T00:00:00"/>
    <d v="2024-07-05T00:00:00"/>
    <x v="0"/>
  </r>
  <r>
    <s v="P300"/>
    <x v="0"/>
    <d v="2024-08-31T00:00:00"/>
    <x v="3"/>
    <s v="Explore the latest carousel on Myntra! Trendy styles await."/>
    <n v="4494"/>
    <n v="717"/>
    <n v="45"/>
    <n v="62916"/>
    <n v="62688"/>
    <n v="191"/>
    <s v="#MyntraFashion"/>
    <x v="0"/>
    <n v="8.35"/>
    <d v="2024-08-01T00:00:00"/>
    <d v="2024-08-31T00:00:00"/>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135"/>
    <n v="88"/>
    <n v="1047"/>
    <n v="344084"/>
    <n v="8.06"/>
    <n v="5904"/>
    <n v="0.30428616268120573"/>
    <x v="0"/>
  </r>
  <r>
    <x v="0"/>
    <x v="1"/>
    <n v="1312"/>
    <n v="310"/>
    <n v="1002"/>
    <n v="42654"/>
    <n v="4.9800000000000004"/>
    <n v="9566"/>
    <n v="2.3491348994232664"/>
    <x v="0"/>
  </r>
  <r>
    <x v="0"/>
    <x v="2"/>
    <n v="584"/>
    <n v="169"/>
    <n v="415"/>
    <n v="146834"/>
    <n v="8.31"/>
    <n v="26752"/>
    <n v="0.28263208793603661"/>
    <x v="0"/>
  </r>
  <r>
    <x v="0"/>
    <x v="3"/>
    <n v="1535"/>
    <n v="445"/>
    <n v="1090"/>
    <n v="395536"/>
    <n v="4.1100000000000003"/>
    <n v="30671"/>
    <n v="0.27557542170624166"/>
    <x v="0"/>
  </r>
  <r>
    <x v="1"/>
    <x v="0"/>
    <n v="656"/>
    <n v="139"/>
    <n v="517"/>
    <n v="49157"/>
    <n v="9.0500000000000007"/>
    <n v="9920"/>
    <n v="1.0517322049758935"/>
    <x v="1"/>
  </r>
  <r>
    <x v="1"/>
    <x v="1"/>
    <n v="1697"/>
    <n v="414"/>
    <n v="1283"/>
    <n v="316555"/>
    <n v="2.37"/>
    <n v="7924"/>
    <n v="0.40530081660374973"/>
    <x v="1"/>
  </r>
  <r>
    <x v="1"/>
    <x v="2"/>
    <n v="436"/>
    <n v="250"/>
    <n v="186"/>
    <n v="254347"/>
    <n v="4.01"/>
    <n v="8912"/>
    <n v="7.3128442639386351E-2"/>
    <x v="1"/>
  </r>
  <r>
    <x v="1"/>
    <x v="3"/>
    <n v="1197"/>
    <n v="203"/>
    <n v="994"/>
    <n v="413878"/>
    <n v="3.16"/>
    <n v="21205"/>
    <n v="0.24016739232334167"/>
    <x v="1"/>
  </r>
  <r>
    <x v="2"/>
    <x v="0"/>
    <n v="1048"/>
    <n v="155"/>
    <n v="893"/>
    <n v="456946"/>
    <n v="2.46"/>
    <n v="11329"/>
    <n v="0.19542790614208244"/>
    <x v="1"/>
  </r>
  <r>
    <x v="2"/>
    <x v="1"/>
    <n v="1753"/>
    <n v="371"/>
    <n v="1382"/>
    <n v="169496"/>
    <n v="8.11"/>
    <n v="46670"/>
    <n v="0.8153584745362723"/>
    <x v="1"/>
  </r>
  <r>
    <x v="2"/>
    <x v="2"/>
    <n v="1335"/>
    <n v="40"/>
    <n v="1295"/>
    <n v="122732"/>
    <n v="8.19"/>
    <n v="22482"/>
    <n v="1.0551445425805821"/>
    <x v="1"/>
  </r>
  <r>
    <x v="2"/>
    <x v="3"/>
    <n v="403"/>
    <n v="66"/>
    <n v="337"/>
    <n v="382851"/>
    <n v="3.49"/>
    <n v="24313"/>
    <n v="8.8023800381871797E-2"/>
    <x v="1"/>
  </r>
  <r>
    <x v="3"/>
    <x v="0"/>
    <n v="911"/>
    <n v="282"/>
    <n v="629"/>
    <n v="35664"/>
    <n v="6.92"/>
    <n v="18050"/>
    <n v="1.7636832660385824"/>
    <x v="1"/>
  </r>
  <r>
    <x v="3"/>
    <x v="1"/>
    <n v="1779"/>
    <n v="109"/>
    <n v="1670"/>
    <n v="26295"/>
    <n v="9.1199999999999992"/>
    <n v="30635"/>
    <n v="6.3510173036698996"/>
    <x v="1"/>
  </r>
  <r>
    <x v="3"/>
    <x v="2"/>
    <n v="1238"/>
    <n v="403"/>
    <n v="835"/>
    <n v="298421"/>
    <n v="3.5"/>
    <n v="31280"/>
    <n v="0.27980604582117208"/>
    <x v="1"/>
  </r>
  <r>
    <x v="3"/>
    <x v="3"/>
    <n v="308"/>
    <n v="431"/>
    <n v="-123"/>
    <n v="426184"/>
    <n v="2.62"/>
    <n v="1783"/>
    <n v="-2.8860773750305036E-2"/>
    <x v="1"/>
  </r>
  <r>
    <x v="4"/>
    <x v="0"/>
    <n v="226"/>
    <n v="445"/>
    <n v="-219"/>
    <n v="419447"/>
    <n v="9.36"/>
    <n v="9566"/>
    <n v="-5.2211602419375981E-2"/>
    <x v="1"/>
  </r>
  <r>
    <x v="4"/>
    <x v="1"/>
    <n v="505"/>
    <n v="441"/>
    <n v="64"/>
    <n v="220020"/>
    <n v="4.4800000000000004"/>
    <n v="42307"/>
    <n v="2.9088264703208796E-2"/>
    <x v="1"/>
  </r>
  <r>
    <x v="4"/>
    <x v="2"/>
    <n v="1420"/>
    <n v="63"/>
    <n v="1357"/>
    <n v="315305"/>
    <n v="6.19"/>
    <n v="5914"/>
    <n v="0.4303769366169265"/>
    <x v="1"/>
  </r>
  <r>
    <x v="4"/>
    <x v="3"/>
    <n v="144"/>
    <n v="53"/>
    <n v="91"/>
    <n v="113678"/>
    <n v="8.7200000000000006"/>
    <n v="30060"/>
    <n v="8.0050669434719113E-2"/>
    <x v="1"/>
  </r>
  <r>
    <x v="5"/>
    <x v="0"/>
    <n v="1757"/>
    <n v="85"/>
    <n v="1672"/>
    <n v="58223"/>
    <n v="8.74"/>
    <n v="22728"/>
    <n v="2.8717173625543171"/>
    <x v="0"/>
  </r>
  <r>
    <x v="5"/>
    <x v="1"/>
    <n v="350"/>
    <n v="41"/>
    <n v="309"/>
    <n v="251694"/>
    <n v="1.91"/>
    <n v="38610"/>
    <n v="0.12276812319721568"/>
    <x v="0"/>
  </r>
  <r>
    <x v="5"/>
    <x v="2"/>
    <n v="987"/>
    <n v="440"/>
    <n v="547"/>
    <n v="389810"/>
    <n v="4.66"/>
    <n v="2932"/>
    <n v="0.140324773607655"/>
    <x v="0"/>
  </r>
  <r>
    <x v="5"/>
    <x v="3"/>
    <n v="883"/>
    <n v="369"/>
    <n v="514"/>
    <n v="233694"/>
    <n v="2.88"/>
    <n v="15071"/>
    <n v="0.21994574101175038"/>
    <x v="0"/>
  </r>
  <r>
    <x v="6"/>
    <x v="0"/>
    <n v="1960"/>
    <n v="115"/>
    <n v="1845"/>
    <n v="154169"/>
    <n v="3.74"/>
    <n v="10740"/>
    <n v="1.1967386439556591"/>
    <x v="0"/>
  </r>
  <r>
    <x v="6"/>
    <x v="1"/>
    <n v="170"/>
    <n v="334"/>
    <n v="-164"/>
    <n v="334626"/>
    <n v="6.44"/>
    <n v="43420"/>
    <n v="-4.9009939454794309E-2"/>
    <x v="0"/>
  </r>
  <r>
    <x v="6"/>
    <x v="2"/>
    <n v="704"/>
    <n v="275"/>
    <n v="429"/>
    <n v="226002"/>
    <n v="8.56"/>
    <n v="32393"/>
    <n v="0.18982132901478749"/>
    <x v="0"/>
  </r>
  <r>
    <x v="6"/>
    <x v="3"/>
    <n v="224"/>
    <n v="64"/>
    <n v="160"/>
    <n v="156683"/>
    <n v="4.5599999999999996"/>
    <n v="28474"/>
    <n v="0.10211701333265255"/>
    <x v="0"/>
  </r>
  <r>
    <x v="7"/>
    <x v="0"/>
    <n v="508"/>
    <n v="349"/>
    <n v="159"/>
    <n v="473812"/>
    <n v="7.88"/>
    <n v="17328"/>
    <n v="3.3557613568250697E-2"/>
    <x v="0"/>
  </r>
  <r>
    <x v="7"/>
    <x v="1"/>
    <n v="1391"/>
    <n v="430"/>
    <n v="961"/>
    <n v="295032"/>
    <n v="7.86"/>
    <n v="26067"/>
    <n v="0.32572737872501967"/>
    <x v="0"/>
  </r>
  <r>
    <x v="7"/>
    <x v="2"/>
    <n v="1701"/>
    <n v="385"/>
    <n v="1316"/>
    <n v="198278"/>
    <n v="5.34"/>
    <n v="32763"/>
    <n v="0.66371458255580551"/>
    <x v="0"/>
  </r>
  <r>
    <x v="7"/>
    <x v="3"/>
    <n v="804"/>
    <n v="487"/>
    <n v="317"/>
    <n v="306564"/>
    <n v="5.52"/>
    <n v="26452"/>
    <n v="0.10340418313957282"/>
    <x v="0"/>
  </r>
  <r>
    <x v="8"/>
    <x v="0"/>
    <n v="653"/>
    <n v="112"/>
    <n v="541"/>
    <n v="23664"/>
    <n v="4.05"/>
    <n v="15353"/>
    <n v="2.2861730899256254"/>
    <x v="0"/>
  </r>
  <r>
    <x v="8"/>
    <x v="1"/>
    <n v="160"/>
    <n v="478"/>
    <n v="-318"/>
    <n v="435034"/>
    <n v="7.73"/>
    <n v="4839"/>
    <n v="-7.309773488968678E-2"/>
    <x v="0"/>
  </r>
  <r>
    <x v="8"/>
    <x v="2"/>
    <n v="1756"/>
    <n v="261"/>
    <n v="1495"/>
    <n v="287574"/>
    <n v="4.3600000000000003"/>
    <n v="39272"/>
    <n v="0.51986619096302167"/>
    <x v="0"/>
  </r>
  <r>
    <x v="8"/>
    <x v="3"/>
    <n v="576"/>
    <n v="101"/>
    <n v="475"/>
    <n v="62499"/>
    <n v="3.48"/>
    <n v="16804"/>
    <n v="0.76001216019456308"/>
    <x v="0"/>
  </r>
  <r>
    <x v="9"/>
    <x v="0"/>
    <n v="645"/>
    <n v="293"/>
    <n v="352"/>
    <n v="437968"/>
    <n v="7.83"/>
    <n v="49303"/>
    <n v="8.0371168669857163E-2"/>
    <x v="2"/>
  </r>
  <r>
    <x v="9"/>
    <x v="1"/>
    <n v="214"/>
    <n v="411"/>
    <n v="-197"/>
    <n v="125034"/>
    <n v="6.11"/>
    <n v="26455"/>
    <n v="-0.15755714445670779"/>
    <x v="2"/>
  </r>
  <r>
    <x v="9"/>
    <x v="2"/>
    <n v="826"/>
    <n v="498"/>
    <n v="328"/>
    <n v="449994"/>
    <n v="9.43"/>
    <n v="12384"/>
    <n v="7.2889860753698937E-2"/>
    <x v="2"/>
  </r>
  <r>
    <x v="9"/>
    <x v="3"/>
    <n v="460"/>
    <n v="141"/>
    <n v="319"/>
    <n v="320650"/>
    <n v="4.04"/>
    <n v="49372"/>
    <n v="9.9485420240137221E-2"/>
    <x v="2"/>
  </r>
  <r>
    <x v="10"/>
    <x v="0"/>
    <n v="1528"/>
    <n v="203"/>
    <n v="1325"/>
    <n v="489188"/>
    <n v="6.23"/>
    <n v="47101"/>
    <n v="0.27085701202809553"/>
    <x v="2"/>
  </r>
  <r>
    <x v="10"/>
    <x v="1"/>
    <n v="1534"/>
    <n v="200"/>
    <n v="1334"/>
    <n v="307612"/>
    <n v="6.01"/>
    <n v="37903"/>
    <n v="0.43366318609156984"/>
    <x v="2"/>
  </r>
  <r>
    <x v="10"/>
    <x v="2"/>
    <n v="485"/>
    <n v="448"/>
    <n v="37"/>
    <n v="434883"/>
    <n v="8.5500000000000007"/>
    <n v="33258"/>
    <n v="8.5080354946042956E-3"/>
    <x v="2"/>
  </r>
  <r>
    <x v="10"/>
    <x v="3"/>
    <n v="1210"/>
    <n v="178"/>
    <n v="1032"/>
    <n v="102042"/>
    <n v="5.42"/>
    <n v="6915"/>
    <n v="1.011348268360087"/>
    <x v="2"/>
  </r>
  <r>
    <x v="11"/>
    <x v="0"/>
    <n v="215"/>
    <n v="139"/>
    <n v="76"/>
    <n v="325444"/>
    <n v="3.25"/>
    <n v="35501"/>
    <n v="2.335271198731579E-2"/>
    <x v="2"/>
  </r>
  <r>
    <x v="11"/>
    <x v="1"/>
    <n v="1078"/>
    <n v="20"/>
    <n v="1058"/>
    <n v="183924"/>
    <n v="8.84"/>
    <n v="14203"/>
    <n v="0.57523759813836151"/>
    <x v="2"/>
  </r>
  <r>
    <x v="11"/>
    <x v="2"/>
    <n v="1751"/>
    <n v="86"/>
    <n v="1665"/>
    <n v="188655"/>
    <n v="7.24"/>
    <n v="22206"/>
    <n v="0.88256340939810773"/>
    <x v="2"/>
  </r>
  <r>
    <x v="11"/>
    <x v="3"/>
    <n v="221"/>
    <n v="31"/>
    <n v="190"/>
    <n v="87443"/>
    <n v="6.19"/>
    <n v="10283"/>
    <n v="0.21728440241071326"/>
    <x v="2"/>
  </r>
  <r>
    <x v="12"/>
    <x v="0"/>
    <n v="1685"/>
    <n v="76"/>
    <n v="1609"/>
    <n v="453799"/>
    <n v="5.71"/>
    <n v="24913"/>
    <n v="0.35456226214689768"/>
    <x v="2"/>
  </r>
  <r>
    <x v="12"/>
    <x v="1"/>
    <n v="248"/>
    <n v="211"/>
    <n v="37"/>
    <n v="379380"/>
    <n v="9.0399999999999991"/>
    <n v="26925"/>
    <n v="9.7527544941747053E-3"/>
    <x v="2"/>
  </r>
  <r>
    <x v="12"/>
    <x v="2"/>
    <n v="1300"/>
    <n v="71"/>
    <n v="1229"/>
    <n v="186454"/>
    <n v="3.91"/>
    <n v="9942"/>
    <n v="0.65914381026955704"/>
    <x v="2"/>
  </r>
  <r>
    <x v="12"/>
    <x v="3"/>
    <n v="422"/>
    <n v="394"/>
    <n v="28"/>
    <n v="239044"/>
    <n v="7.83"/>
    <n v="32929"/>
    <n v="1.1713324743561855E-2"/>
    <x v="2"/>
  </r>
  <r>
    <x v="13"/>
    <x v="0"/>
    <n v="1429"/>
    <n v="182"/>
    <n v="1247"/>
    <n v="101332"/>
    <n v="7.16"/>
    <n v="37829"/>
    <n v="1.2306082974775983"/>
    <x v="0"/>
  </r>
  <r>
    <x v="13"/>
    <x v="1"/>
    <n v="1520"/>
    <n v="475"/>
    <n v="1045"/>
    <n v="496982"/>
    <n v="6.41"/>
    <n v="24384"/>
    <n v="0.21026918479944948"/>
    <x v="0"/>
  </r>
  <r>
    <x v="13"/>
    <x v="2"/>
    <n v="557"/>
    <n v="360"/>
    <n v="197"/>
    <n v="318779"/>
    <n v="8.02"/>
    <n v="25797"/>
    <n v="6.1798299135137513E-2"/>
    <x v="0"/>
  </r>
  <r>
    <x v="13"/>
    <x v="3"/>
    <n v="728"/>
    <n v="395"/>
    <n v="333"/>
    <n v="370971"/>
    <n v="3.86"/>
    <n v="12646"/>
    <n v="8.9764429025449427E-2"/>
    <x v="0"/>
  </r>
  <r>
    <x v="14"/>
    <x v="0"/>
    <n v="1592"/>
    <n v="20"/>
    <n v="1572"/>
    <n v="378054"/>
    <n v="9.09"/>
    <n v="26663"/>
    <n v="0.41581361392816901"/>
    <x v="0"/>
  </r>
  <r>
    <x v="14"/>
    <x v="1"/>
    <n v="1842"/>
    <n v="414"/>
    <n v="1428"/>
    <n v="307524"/>
    <n v="1.76"/>
    <n v="40478"/>
    <n v="0.46435400163889645"/>
    <x v="0"/>
  </r>
  <r>
    <x v="14"/>
    <x v="2"/>
    <n v="751"/>
    <n v="491"/>
    <n v="260"/>
    <n v="434047"/>
    <n v="9.24"/>
    <n v="15476"/>
    <n v="5.990134708914012E-2"/>
    <x v="0"/>
  </r>
  <r>
    <x v="14"/>
    <x v="3"/>
    <n v="1409"/>
    <n v="309"/>
    <n v="1100"/>
    <n v="64583"/>
    <n v="8.99"/>
    <n v="10217"/>
    <n v="1.703234597339857"/>
    <x v="0"/>
  </r>
  <r>
    <x v="15"/>
    <x v="0"/>
    <n v="778"/>
    <n v="401"/>
    <n v="377"/>
    <n v="50793"/>
    <n v="3.4"/>
    <n v="21939"/>
    <n v="0.74222825979957874"/>
    <x v="0"/>
  </r>
  <r>
    <x v="15"/>
    <x v="1"/>
    <n v="443"/>
    <n v="345"/>
    <n v="98"/>
    <n v="474162"/>
    <n v="9.1999999999999993"/>
    <n v="47462"/>
    <n v="2.0668041724136478E-2"/>
    <x v="0"/>
  </r>
  <r>
    <x v="15"/>
    <x v="2"/>
    <n v="1472"/>
    <n v="347"/>
    <n v="1125"/>
    <n v="392355"/>
    <n v="8.59"/>
    <n v="30270"/>
    <n v="0.2867301296020186"/>
    <x v="0"/>
  </r>
  <r>
    <x v="15"/>
    <x v="3"/>
    <n v="123"/>
    <n v="155"/>
    <n v="-32"/>
    <n v="119934"/>
    <n v="3.5"/>
    <n v="5442"/>
    <n v="-2.6681341404439108E-2"/>
    <x v="0"/>
  </r>
  <r>
    <x v="16"/>
    <x v="0"/>
    <n v="817"/>
    <n v="151"/>
    <n v="666"/>
    <n v="422625"/>
    <n v="2.36"/>
    <n v="1083"/>
    <n v="0.15758651286601597"/>
    <x v="0"/>
  </r>
  <r>
    <x v="16"/>
    <x v="1"/>
    <n v="198"/>
    <n v="217"/>
    <n v="-19"/>
    <n v="239753"/>
    <n v="7.36"/>
    <n v="11901"/>
    <n v="-7.924822629956663E-3"/>
    <x v="0"/>
  </r>
  <r>
    <x v="16"/>
    <x v="2"/>
    <n v="1911"/>
    <n v="231"/>
    <n v="1680"/>
    <n v="268516"/>
    <n v="8.5500000000000007"/>
    <n v="24018"/>
    <n v="0.62566104068286432"/>
    <x v="0"/>
  </r>
  <r>
    <x v="16"/>
    <x v="3"/>
    <n v="1218"/>
    <n v="212"/>
    <n v="1006"/>
    <n v="63177"/>
    <n v="8.1300000000000008"/>
    <n v="38883"/>
    <n v="1.592351646960128"/>
    <x v="0"/>
  </r>
  <r>
    <x v="17"/>
    <x v="0"/>
    <n v="1433"/>
    <n v="408"/>
    <n v="1025"/>
    <n v="370269"/>
    <n v="3.3"/>
    <n v="30575"/>
    <n v="0.27682576721248608"/>
    <x v="0"/>
  </r>
  <r>
    <x v="17"/>
    <x v="1"/>
    <n v="250"/>
    <n v="429"/>
    <n v="-179"/>
    <n v="453423"/>
    <n v="1.77"/>
    <n v="2315"/>
    <n v="-3.9477485703195474E-2"/>
    <x v="0"/>
  </r>
  <r>
    <x v="17"/>
    <x v="2"/>
    <n v="752"/>
    <n v="153"/>
    <n v="599"/>
    <n v="64906"/>
    <n v="2.09"/>
    <n v="12148"/>
    <n v="0.92287307798970819"/>
    <x v="0"/>
  </r>
  <r>
    <x v="17"/>
    <x v="3"/>
    <n v="1918"/>
    <n v="212"/>
    <n v="1706"/>
    <n v="94360"/>
    <n v="7.36"/>
    <n v="36851"/>
    <n v="1.8079694785926241"/>
    <x v="0"/>
  </r>
  <r>
    <x v="18"/>
    <x v="0"/>
    <n v="1939"/>
    <n v="67"/>
    <n v="1872"/>
    <n v="187183"/>
    <n v="6.25"/>
    <n v="41215"/>
    <n v="1.000090820213374"/>
    <x v="3"/>
  </r>
  <r>
    <x v="18"/>
    <x v="1"/>
    <n v="1929"/>
    <n v="267"/>
    <n v="1662"/>
    <n v="379363"/>
    <n v="1.75"/>
    <n v="43836"/>
    <n v="0.43810281972675247"/>
    <x v="3"/>
  </r>
  <r>
    <x v="18"/>
    <x v="2"/>
    <n v="437"/>
    <n v="330"/>
    <n v="107"/>
    <n v="476486"/>
    <n v="4.97"/>
    <n v="4509"/>
    <n v="2.2456063766826309E-2"/>
    <x v="3"/>
  </r>
  <r>
    <x v="18"/>
    <x v="3"/>
    <n v="307"/>
    <n v="189"/>
    <n v="118"/>
    <n v="117767"/>
    <n v="9.3000000000000007"/>
    <n v="27822"/>
    <n v="0.10019784829366461"/>
    <x v="3"/>
  </r>
  <r>
    <x v="19"/>
    <x v="0"/>
    <n v="1527"/>
    <n v="303"/>
    <n v="1224"/>
    <n v="388555"/>
    <n v="8.9"/>
    <n v="36397"/>
    <n v="0.31501331857780751"/>
    <x v="3"/>
  </r>
  <r>
    <x v="19"/>
    <x v="1"/>
    <n v="643"/>
    <n v="358"/>
    <n v="285"/>
    <n v="157599"/>
    <n v="3.88"/>
    <n v="7285"/>
    <n v="0.18083871090552606"/>
    <x v="3"/>
  </r>
  <r>
    <x v="19"/>
    <x v="2"/>
    <n v="201"/>
    <n v="221"/>
    <n v="-20"/>
    <n v="309772"/>
    <n v="5.9"/>
    <n v="33174"/>
    <n v="-6.4563614529395824E-3"/>
    <x v="3"/>
  </r>
  <r>
    <x v="19"/>
    <x v="3"/>
    <n v="414"/>
    <n v="47"/>
    <n v="367"/>
    <n v="199178"/>
    <n v="1.53"/>
    <n v="6742"/>
    <n v="0.18425729749269498"/>
    <x v="3"/>
  </r>
  <r>
    <x v="20"/>
    <x v="0"/>
    <n v="703"/>
    <n v="441"/>
    <n v="262"/>
    <n v="357089"/>
    <n v="6.5"/>
    <n v="32478"/>
    <n v="7.3371064356504964E-2"/>
    <x v="3"/>
  </r>
  <r>
    <x v="20"/>
    <x v="1"/>
    <n v="508"/>
    <n v="69"/>
    <n v="439"/>
    <n v="23492"/>
    <n v="3.16"/>
    <n v="42824"/>
    <n v="1.8687212668142346"/>
    <x v="3"/>
  </r>
  <r>
    <x v="20"/>
    <x v="2"/>
    <n v="697"/>
    <n v="61"/>
    <n v="636"/>
    <n v="258287"/>
    <n v="8.25"/>
    <n v="21208"/>
    <n v="0.24623771231227276"/>
    <x v="3"/>
  </r>
  <r>
    <x v="20"/>
    <x v="3"/>
    <n v="1707"/>
    <n v="223"/>
    <n v="1484"/>
    <n v="256910"/>
    <n v="5.41"/>
    <n v="44321"/>
    <n v="0.57763419096181545"/>
    <x v="3"/>
  </r>
  <r>
    <x v="21"/>
    <x v="0"/>
    <n v="642"/>
    <n v="66"/>
    <n v="576"/>
    <n v="346522"/>
    <n v="5.85"/>
    <n v="13116"/>
    <n v="0.166223212379012"/>
    <x v="3"/>
  </r>
  <r>
    <x v="21"/>
    <x v="1"/>
    <n v="859"/>
    <n v="473"/>
    <n v="386"/>
    <n v="209987"/>
    <n v="4.46"/>
    <n v="30214"/>
    <n v="0.18382090319876945"/>
    <x v="3"/>
  </r>
  <r>
    <x v="21"/>
    <x v="2"/>
    <n v="191"/>
    <n v="154"/>
    <n v="37"/>
    <n v="240550"/>
    <n v="5.22"/>
    <n v="15827"/>
    <n v="1.5381417584701726E-2"/>
    <x v="3"/>
  </r>
  <r>
    <x v="21"/>
    <x v="3"/>
    <n v="1814"/>
    <n v="157"/>
    <n v="1657"/>
    <n v="305827"/>
    <n v="1.99"/>
    <n v="46643"/>
    <n v="0.54180958515762179"/>
    <x v="3"/>
  </r>
  <r>
    <x v="22"/>
    <x v="0"/>
    <n v="1466"/>
    <n v="69"/>
    <n v="1397"/>
    <n v="54935"/>
    <n v="6.85"/>
    <n v="36484"/>
    <n v="2.5430053699827071"/>
    <x v="3"/>
  </r>
  <r>
    <x v="22"/>
    <x v="1"/>
    <n v="947"/>
    <n v="407"/>
    <n v="540"/>
    <n v="319186"/>
    <n v="3.32"/>
    <n v="4996"/>
    <n v="0.16918035252172714"/>
    <x v="3"/>
  </r>
  <r>
    <x v="22"/>
    <x v="2"/>
    <n v="1821"/>
    <n v="218"/>
    <n v="1603"/>
    <n v="439080"/>
    <n v="5.68"/>
    <n v="36095"/>
    <n v="0.36508153411678962"/>
    <x v="3"/>
  </r>
  <r>
    <x v="22"/>
    <x v="3"/>
    <n v="1507"/>
    <n v="463"/>
    <n v="1044"/>
    <n v="258944"/>
    <n v="6.08"/>
    <n v="16443"/>
    <n v="0.40317597627286211"/>
    <x v="3"/>
  </r>
  <r>
    <x v="23"/>
    <x v="0"/>
    <n v="1075"/>
    <n v="173"/>
    <n v="902"/>
    <n v="51395"/>
    <n v="4.66"/>
    <n v="47812"/>
    <n v="1.7550345364335054"/>
    <x v="0"/>
  </r>
  <r>
    <x v="23"/>
    <x v="1"/>
    <n v="171"/>
    <n v="277"/>
    <n v="-106"/>
    <n v="309483"/>
    <n v="8.6999999999999993"/>
    <n v="38452"/>
    <n v="-3.4250669665215859E-2"/>
    <x v="0"/>
  </r>
  <r>
    <x v="23"/>
    <x v="2"/>
    <n v="1487"/>
    <n v="337"/>
    <n v="1150"/>
    <n v="87305"/>
    <n v="2.46"/>
    <n v="30428"/>
    <n v="1.3172212358971422"/>
    <x v="0"/>
  </r>
  <r>
    <x v="23"/>
    <x v="3"/>
    <n v="454"/>
    <n v="105"/>
    <n v="349"/>
    <n v="121091"/>
    <n v="7.97"/>
    <n v="9269"/>
    <n v="0.28821299683708945"/>
    <x v="0"/>
  </r>
  <r>
    <x v="24"/>
    <x v="0"/>
    <n v="187"/>
    <n v="236"/>
    <n v="-49"/>
    <n v="51087"/>
    <n v="9.41"/>
    <n v="29533"/>
    <n v="-9.5914811987394058E-2"/>
    <x v="0"/>
  </r>
  <r>
    <x v="24"/>
    <x v="1"/>
    <n v="513"/>
    <n v="441"/>
    <n v="72"/>
    <n v="338847"/>
    <n v="2.68"/>
    <n v="39997"/>
    <n v="2.124852809675163E-2"/>
    <x v="0"/>
  </r>
  <r>
    <x v="24"/>
    <x v="2"/>
    <n v="628"/>
    <n v="183"/>
    <n v="445"/>
    <n v="487523"/>
    <n v="7.32"/>
    <n v="5391"/>
    <n v="9.1277744844858608E-2"/>
    <x v="0"/>
  </r>
  <r>
    <x v="24"/>
    <x v="3"/>
    <n v="278"/>
    <n v="218"/>
    <n v="60"/>
    <n v="301695"/>
    <n v="4.68"/>
    <n v="22373"/>
    <n v="1.9887634863023914E-2"/>
    <x v="0"/>
  </r>
  <r>
    <x v="25"/>
    <x v="0"/>
    <n v="1854"/>
    <n v="161"/>
    <n v="1693"/>
    <n v="282466"/>
    <n v="5.17"/>
    <n v="1810"/>
    <n v="0.59936417126309005"/>
    <x v="0"/>
  </r>
  <r>
    <x v="25"/>
    <x v="1"/>
    <n v="1710"/>
    <n v="378"/>
    <n v="1332"/>
    <n v="336661"/>
    <n v="6.2"/>
    <n v="28498"/>
    <n v="0.39565022381564841"/>
    <x v="0"/>
  </r>
  <r>
    <x v="25"/>
    <x v="2"/>
    <n v="330"/>
    <n v="232"/>
    <n v="98"/>
    <n v="88455"/>
    <n v="2.69"/>
    <n v="39530"/>
    <n v="0.11079079758069074"/>
    <x v="0"/>
  </r>
  <r>
    <x v="25"/>
    <x v="3"/>
    <n v="1293"/>
    <n v="408"/>
    <n v="885"/>
    <n v="62535"/>
    <n v="8.9"/>
    <n v="37876"/>
    <n v="1.4152074838090669"/>
    <x v="0"/>
  </r>
  <r>
    <x v="26"/>
    <x v="0"/>
    <n v="1696"/>
    <n v="71"/>
    <n v="1625"/>
    <n v="421957"/>
    <n v="3.79"/>
    <n v="36103"/>
    <n v="0.38511033114748661"/>
    <x v="0"/>
  </r>
  <r>
    <x v="26"/>
    <x v="1"/>
    <n v="1902"/>
    <n v="196"/>
    <n v="1706"/>
    <n v="470269"/>
    <n v="4.79"/>
    <n v="26103"/>
    <n v="0.36277109484146308"/>
    <x v="0"/>
  </r>
  <r>
    <x v="26"/>
    <x v="2"/>
    <n v="1441"/>
    <n v="268"/>
    <n v="1173"/>
    <n v="309904"/>
    <n v="6.37"/>
    <n v="3455"/>
    <n v="0.37850431101244258"/>
    <x v="0"/>
  </r>
  <r>
    <x v="26"/>
    <x v="3"/>
    <n v="452"/>
    <n v="161"/>
    <n v="291"/>
    <n v="221274"/>
    <n v="2.65"/>
    <n v="40888"/>
    <n v="0.13151115811166245"/>
    <x v="0"/>
  </r>
  <r>
    <x v="27"/>
    <x v="0"/>
    <n v="1494"/>
    <n v="375"/>
    <n v="1119"/>
    <n v="220616"/>
    <n v="1.81"/>
    <n v="22724"/>
    <n v="0.5072161583928636"/>
    <x v="0"/>
  </r>
  <r>
    <x v="27"/>
    <x v="1"/>
    <n v="1514"/>
    <n v="141"/>
    <n v="1373"/>
    <n v="35842"/>
    <n v="7.47"/>
    <n v="18601"/>
    <n v="3.8307014117515763"/>
    <x v="0"/>
  </r>
  <r>
    <x v="27"/>
    <x v="2"/>
    <n v="1937"/>
    <n v="210"/>
    <n v="1727"/>
    <n v="20607"/>
    <n v="4.2"/>
    <n v="20861"/>
    <n v="8.3806473528412688"/>
    <x v="0"/>
  </r>
  <r>
    <x v="27"/>
    <x v="3"/>
    <n v="736"/>
    <n v="163"/>
    <n v="573"/>
    <n v="451894"/>
    <n v="5.43"/>
    <n v="46625"/>
    <n v="0.12679964770499277"/>
    <x v="0"/>
  </r>
  <r>
    <x v="28"/>
    <x v="0"/>
    <n v="1502"/>
    <n v="70"/>
    <n v="1432"/>
    <n v="465553"/>
    <n v="3.32"/>
    <n v="20692"/>
    <n v="0.30759118725472717"/>
    <x v="0"/>
  </r>
  <r>
    <x v="28"/>
    <x v="1"/>
    <n v="1623"/>
    <n v="246"/>
    <n v="1377"/>
    <n v="415815"/>
    <n v="8.11"/>
    <n v="18656"/>
    <n v="0.33115688467227011"/>
    <x v="0"/>
  </r>
  <r>
    <x v="28"/>
    <x v="2"/>
    <n v="1592"/>
    <n v="233"/>
    <n v="1359"/>
    <n v="327183"/>
    <n v="6.66"/>
    <n v="13316"/>
    <n v="0.41536387893013998"/>
    <x v="0"/>
  </r>
  <r>
    <x v="28"/>
    <x v="3"/>
    <n v="1004"/>
    <n v="128"/>
    <n v="876"/>
    <n v="488901"/>
    <n v="8.09"/>
    <n v="49558"/>
    <n v="0.17917737946946316"/>
    <x v="0"/>
  </r>
  <r>
    <x v="29"/>
    <x v="0"/>
    <n v="1092"/>
    <n v="408"/>
    <n v="684"/>
    <n v="280795"/>
    <n v="8.44"/>
    <n v="4683"/>
    <n v="0.24359408109118752"/>
    <x v="0"/>
  </r>
  <r>
    <x v="29"/>
    <x v="1"/>
    <n v="1155"/>
    <n v="425"/>
    <n v="730"/>
    <n v="93347"/>
    <n v="2.02"/>
    <n v="47502"/>
    <n v="0.78202834584935776"/>
    <x v="0"/>
  </r>
  <r>
    <x v="29"/>
    <x v="2"/>
    <n v="1137"/>
    <n v="226"/>
    <n v="911"/>
    <n v="81119"/>
    <n v="7.74"/>
    <n v="35359"/>
    <n v="1.123041457611657"/>
    <x v="0"/>
  </r>
  <r>
    <x v="29"/>
    <x v="3"/>
    <n v="1900"/>
    <n v="311"/>
    <n v="1589"/>
    <n v="25177"/>
    <n v="2.89"/>
    <n v="14154"/>
    <n v="6.3113158835445047"/>
    <x v="0"/>
  </r>
  <r>
    <x v="30"/>
    <x v="0"/>
    <n v="1814"/>
    <n v="49"/>
    <n v="1765"/>
    <n v="140804"/>
    <n v="1.76"/>
    <n v="4313"/>
    <n v="1.2535155251271271"/>
    <x v="0"/>
  </r>
  <r>
    <x v="30"/>
    <x v="1"/>
    <n v="1980"/>
    <n v="204"/>
    <n v="1776"/>
    <n v="379431"/>
    <n v="3.09"/>
    <n v="25140"/>
    <n v="0.46806929323118035"/>
    <x v="0"/>
  </r>
  <r>
    <x v="30"/>
    <x v="2"/>
    <n v="1786"/>
    <n v="257"/>
    <n v="1529"/>
    <n v="274831"/>
    <n v="4.68"/>
    <n v="9118"/>
    <n v="0.55634189738421069"/>
    <x v="0"/>
  </r>
  <r>
    <x v="30"/>
    <x v="3"/>
    <n v="1495"/>
    <n v="35"/>
    <n v="1460"/>
    <n v="136845"/>
    <n v="4.4800000000000004"/>
    <n v="39931"/>
    <n v="1.0669005078738718"/>
    <x v="0"/>
  </r>
  <r>
    <x v="31"/>
    <x v="0"/>
    <n v="1013"/>
    <n v="110"/>
    <n v="903"/>
    <n v="466382"/>
    <n v="5.3"/>
    <n v="37132"/>
    <n v="0.19361810704529764"/>
    <x v="0"/>
  </r>
  <r>
    <x v="31"/>
    <x v="1"/>
    <n v="816"/>
    <n v="196"/>
    <n v="620"/>
    <n v="95728"/>
    <n v="8.1999999999999993"/>
    <n v="17951"/>
    <n v="0.64766839378238339"/>
    <x v="0"/>
  </r>
  <r>
    <x v="31"/>
    <x v="2"/>
    <n v="1633"/>
    <n v="445"/>
    <n v="1188"/>
    <n v="371156"/>
    <n v="2.2200000000000002"/>
    <n v="2798"/>
    <n v="0.32008104408927779"/>
    <x v="0"/>
  </r>
  <r>
    <x v="31"/>
    <x v="3"/>
    <n v="891"/>
    <n v="45"/>
    <n v="846"/>
    <n v="95410"/>
    <n v="8.33"/>
    <n v="15045"/>
    <n v="0.88669950738916259"/>
    <x v="0"/>
  </r>
  <r>
    <x v="32"/>
    <x v="0"/>
    <n v="1855"/>
    <n v="133"/>
    <n v="1722"/>
    <n v="349413"/>
    <n v="3.3"/>
    <n v="14548"/>
    <n v="0.49282654051223052"/>
    <x v="4"/>
  </r>
  <r>
    <x v="32"/>
    <x v="1"/>
    <n v="651"/>
    <n v="353"/>
    <n v="298"/>
    <n v="224699"/>
    <n v="5.61"/>
    <n v="45708"/>
    <n v="0.13262186302564766"/>
    <x v="4"/>
  </r>
  <r>
    <x v="32"/>
    <x v="2"/>
    <n v="118"/>
    <n v="262"/>
    <n v="-144"/>
    <n v="487896"/>
    <n v="2.56"/>
    <n v="12350"/>
    <n v="-2.9514486693885584E-2"/>
    <x v="4"/>
  </r>
  <r>
    <x v="32"/>
    <x v="3"/>
    <n v="1331"/>
    <n v="430"/>
    <n v="901"/>
    <n v="14437"/>
    <n v="3.29"/>
    <n v="40868"/>
    <n v="6.2409087760615085"/>
    <x v="4"/>
  </r>
  <r>
    <x v="33"/>
    <x v="0"/>
    <n v="1748"/>
    <n v="176"/>
    <n v="1572"/>
    <n v="383681"/>
    <n v="9.24"/>
    <n v="43122"/>
    <n v="0.40971536250166152"/>
    <x v="4"/>
  </r>
  <r>
    <x v="33"/>
    <x v="1"/>
    <n v="663"/>
    <n v="236"/>
    <n v="427"/>
    <n v="479490"/>
    <n v="4.51"/>
    <n v="23853"/>
    <n v="8.905295209493419E-2"/>
    <x v="4"/>
  </r>
  <r>
    <x v="33"/>
    <x v="2"/>
    <n v="1040"/>
    <n v="149"/>
    <n v="891"/>
    <n v="124404"/>
    <n v="5.23"/>
    <n v="45380"/>
    <n v="0.71621491270377158"/>
    <x v="4"/>
  </r>
  <r>
    <x v="33"/>
    <x v="3"/>
    <n v="1166"/>
    <n v="442"/>
    <n v="724"/>
    <n v="336949"/>
    <n v="4.68"/>
    <n v="7705"/>
    <n v="0.2148693125665902"/>
    <x v="4"/>
  </r>
  <r>
    <x v="34"/>
    <x v="0"/>
    <n v="115"/>
    <n v="281"/>
    <n v="-166"/>
    <n v="357265"/>
    <n v="9.23"/>
    <n v="25525"/>
    <n v="-4.6464109274628081E-2"/>
    <x v="4"/>
  </r>
  <r>
    <x v="34"/>
    <x v="1"/>
    <n v="1249"/>
    <n v="351"/>
    <n v="898"/>
    <n v="321307"/>
    <n v="6.37"/>
    <n v="20560"/>
    <n v="0.27948348464241363"/>
    <x v="4"/>
  </r>
  <r>
    <x v="34"/>
    <x v="2"/>
    <n v="1501"/>
    <n v="75"/>
    <n v="1426"/>
    <n v="262569"/>
    <n v="2.0099999999999998"/>
    <n v="19119"/>
    <n v="0.54309533874905258"/>
    <x v="4"/>
  </r>
  <r>
    <x v="34"/>
    <x v="3"/>
    <n v="1411"/>
    <n v="186"/>
    <n v="1225"/>
    <n v="461669"/>
    <n v="3.72"/>
    <n v="43999"/>
    <n v="0.26534161921203286"/>
    <x v="4"/>
  </r>
  <r>
    <x v="35"/>
    <x v="0"/>
    <n v="1556"/>
    <n v="476"/>
    <n v="1080"/>
    <n v="351556"/>
    <n v="3.89"/>
    <n v="10825"/>
    <n v="0.30720567989168157"/>
    <x v="4"/>
  </r>
  <r>
    <x v="35"/>
    <x v="1"/>
    <n v="1159"/>
    <n v="411"/>
    <n v="748"/>
    <n v="135987"/>
    <n v="8.6999999999999993"/>
    <n v="40323"/>
    <n v="0.5500525785553031"/>
    <x v="4"/>
  </r>
  <r>
    <x v="35"/>
    <x v="2"/>
    <n v="927"/>
    <n v="358"/>
    <n v="569"/>
    <n v="177554"/>
    <n v="6.95"/>
    <n v="48270"/>
    <n v="0.32046588643454949"/>
    <x v="4"/>
  </r>
  <r>
    <x v="35"/>
    <x v="3"/>
    <n v="152"/>
    <n v="355"/>
    <n v="-203"/>
    <n v="270766"/>
    <n v="9.48"/>
    <n v="18001"/>
    <n v="-7.4972485467156139E-2"/>
    <x v="4"/>
  </r>
  <r>
    <x v="36"/>
    <x v="0"/>
    <n v="1957"/>
    <n v="234"/>
    <n v="1723"/>
    <n v="222126"/>
    <n v="4.6100000000000003"/>
    <n v="3314"/>
    <n v="0.77568587198256844"/>
    <x v="4"/>
  </r>
  <r>
    <x v="36"/>
    <x v="1"/>
    <n v="1294"/>
    <n v="382"/>
    <n v="912"/>
    <n v="309914"/>
    <n v="8.0299999999999994"/>
    <n v="23489"/>
    <n v="0.29427518601934727"/>
    <x v="4"/>
  </r>
  <r>
    <x v="36"/>
    <x v="2"/>
    <n v="1587"/>
    <n v="385"/>
    <n v="1202"/>
    <n v="126582"/>
    <n v="6.99"/>
    <n v="42832"/>
    <n v="0.94958208908059605"/>
    <x v="4"/>
  </r>
  <r>
    <x v="36"/>
    <x v="3"/>
    <n v="1707"/>
    <n v="263"/>
    <n v="1444"/>
    <n v="485280"/>
    <n v="9.0299999999999994"/>
    <n v="24494"/>
    <n v="0.29756017144741181"/>
    <x v="4"/>
  </r>
  <r>
    <x v="37"/>
    <x v="0"/>
    <n v="1138"/>
    <n v="173"/>
    <n v="965"/>
    <n v="453243"/>
    <n v="2.86"/>
    <n v="44097"/>
    <n v="0.21291007252180397"/>
    <x v="0"/>
  </r>
  <r>
    <x v="37"/>
    <x v="1"/>
    <n v="1895"/>
    <n v="305"/>
    <n v="1590"/>
    <n v="104967"/>
    <n v="3.85"/>
    <n v="31853"/>
    <n v="1.5147617822744293"/>
    <x v="0"/>
  </r>
  <r>
    <x v="37"/>
    <x v="2"/>
    <n v="362"/>
    <n v="399"/>
    <n v="-37"/>
    <n v="145608"/>
    <n v="7.3"/>
    <n v="37636"/>
    <n v="-2.5410691720235155E-2"/>
    <x v="0"/>
  </r>
  <r>
    <x v="37"/>
    <x v="3"/>
    <n v="1662"/>
    <n v="487"/>
    <n v="1175"/>
    <n v="105980"/>
    <n v="9.08"/>
    <n v="22996"/>
    <n v="1.1086997546706925"/>
    <x v="0"/>
  </r>
  <r>
    <x v="38"/>
    <x v="0"/>
    <n v="1440"/>
    <n v="65"/>
    <n v="1375"/>
    <n v="126524"/>
    <n v="4.34"/>
    <n v="49772"/>
    <n v="1.08675033985647"/>
    <x v="0"/>
  </r>
  <r>
    <x v="38"/>
    <x v="1"/>
    <n v="1884"/>
    <n v="177"/>
    <n v="1707"/>
    <n v="230448"/>
    <n v="7.8"/>
    <n v="22713"/>
    <n v="0.74073109768798173"/>
    <x v="0"/>
  </r>
  <r>
    <x v="38"/>
    <x v="2"/>
    <n v="861"/>
    <n v="153"/>
    <n v="708"/>
    <n v="317007"/>
    <n v="3.85"/>
    <n v="8718"/>
    <n v="0.22333891680625351"/>
    <x v="0"/>
  </r>
  <r>
    <x v="38"/>
    <x v="3"/>
    <n v="1063"/>
    <n v="47"/>
    <n v="1016"/>
    <n v="464239"/>
    <n v="6.58"/>
    <n v="39031"/>
    <n v="0.21885278918832757"/>
    <x v="0"/>
  </r>
  <r>
    <x v="39"/>
    <x v="0"/>
    <n v="1371"/>
    <n v="56"/>
    <n v="1315"/>
    <n v="257579"/>
    <n v="8.6199999999999992"/>
    <n v="33799"/>
    <n v="0.51052298518124528"/>
    <x v="0"/>
  </r>
  <r>
    <x v="39"/>
    <x v="1"/>
    <n v="345"/>
    <n v="464"/>
    <n v="-119"/>
    <n v="366881"/>
    <n v="4.55"/>
    <n v="20553"/>
    <n v="-3.2435585380545737E-2"/>
    <x v="0"/>
  </r>
  <r>
    <x v="39"/>
    <x v="2"/>
    <n v="946"/>
    <n v="47"/>
    <n v="899"/>
    <n v="466575"/>
    <n v="8.33"/>
    <n v="10002"/>
    <n v="0.19268070513850935"/>
    <x v="0"/>
  </r>
  <r>
    <x v="39"/>
    <x v="3"/>
    <n v="510"/>
    <n v="195"/>
    <n v="315"/>
    <n v="224534"/>
    <n v="9.4"/>
    <n v="30987"/>
    <n v="0.14029055733207443"/>
    <x v="0"/>
  </r>
  <r>
    <x v="40"/>
    <x v="0"/>
    <n v="393"/>
    <n v="181"/>
    <n v="212"/>
    <n v="462142"/>
    <n v="7.23"/>
    <n v="6296"/>
    <n v="4.5873346287504703E-2"/>
    <x v="0"/>
  </r>
  <r>
    <x v="40"/>
    <x v="1"/>
    <n v="1098"/>
    <n v="190"/>
    <n v="908"/>
    <n v="340842"/>
    <n v="9.39"/>
    <n v="21539"/>
    <n v="0.26639909400836753"/>
    <x v="0"/>
  </r>
  <r>
    <x v="40"/>
    <x v="2"/>
    <n v="1399"/>
    <n v="49"/>
    <n v="1350"/>
    <n v="12471"/>
    <n v="5.12"/>
    <n v="14722"/>
    <n v="10.825114265095021"/>
    <x v="0"/>
  </r>
  <r>
    <x v="40"/>
    <x v="3"/>
    <n v="1658"/>
    <n v="416"/>
    <n v="1242"/>
    <n v="98397"/>
    <n v="6.11"/>
    <n v="11383"/>
    <n v="1.2622336046830696"/>
    <x v="0"/>
  </r>
  <r>
    <x v="41"/>
    <x v="0"/>
    <n v="1102"/>
    <n v="422"/>
    <n v="680"/>
    <n v="410330"/>
    <n v="7.74"/>
    <n v="9480"/>
    <n v="0.16572027392586453"/>
    <x v="0"/>
  </r>
  <r>
    <x v="41"/>
    <x v="1"/>
    <n v="1358"/>
    <n v="242"/>
    <n v="1116"/>
    <n v="342129"/>
    <n v="4.9400000000000004"/>
    <n v="29116"/>
    <n v="0.32619275185675578"/>
    <x v="0"/>
  </r>
  <r>
    <x v="41"/>
    <x v="2"/>
    <n v="1077"/>
    <n v="216"/>
    <n v="861"/>
    <n v="12447"/>
    <n v="1.8"/>
    <n v="14068"/>
    <n v="6.9173294769824052"/>
    <x v="0"/>
  </r>
  <r>
    <x v="41"/>
    <x v="3"/>
    <n v="1596"/>
    <n v="211"/>
    <n v="1385"/>
    <n v="17380"/>
    <n v="8.64"/>
    <n v="35801"/>
    <n v="7.9689298043728432"/>
    <x v="0"/>
  </r>
  <r>
    <x v="42"/>
    <x v="0"/>
    <n v="490"/>
    <n v="29"/>
    <n v="461"/>
    <n v="364810"/>
    <n v="1.53"/>
    <n v="49077"/>
    <n v="0.12636715002329982"/>
    <x v="0"/>
  </r>
  <r>
    <x v="42"/>
    <x v="1"/>
    <n v="609"/>
    <n v="135"/>
    <n v="474"/>
    <n v="373606"/>
    <n v="8.52"/>
    <n v="21453"/>
    <n v="0.1268716241173857"/>
    <x v="0"/>
  </r>
  <r>
    <x v="42"/>
    <x v="2"/>
    <n v="364"/>
    <n v="72"/>
    <n v="292"/>
    <n v="211090"/>
    <n v="5.53"/>
    <n v="21061"/>
    <n v="0.13832962243592781"/>
    <x v="0"/>
  </r>
  <r>
    <x v="42"/>
    <x v="3"/>
    <n v="442"/>
    <n v="53"/>
    <n v="389"/>
    <n v="441931"/>
    <n v="1.87"/>
    <n v="20059"/>
    <n v="8.8022790888170319E-2"/>
    <x v="0"/>
  </r>
  <r>
    <x v="43"/>
    <x v="0"/>
    <n v="1033"/>
    <n v="392"/>
    <n v="641"/>
    <n v="282780"/>
    <n v="6.27"/>
    <n v="23140"/>
    <n v="0.22667798288422092"/>
    <x v="0"/>
  </r>
  <r>
    <x v="43"/>
    <x v="1"/>
    <n v="988"/>
    <n v="474"/>
    <n v="514"/>
    <n v="370070"/>
    <n v="9.4600000000000009"/>
    <n v="23461"/>
    <n v="0.13889264193260734"/>
    <x v="0"/>
  </r>
  <r>
    <x v="43"/>
    <x v="2"/>
    <n v="1946"/>
    <n v="270"/>
    <n v="1676"/>
    <n v="198350"/>
    <n v="7.5"/>
    <n v="11805"/>
    <n v="0.84497101083942527"/>
    <x v="0"/>
  </r>
  <r>
    <x v="43"/>
    <x v="3"/>
    <n v="1957"/>
    <n v="490"/>
    <n v="1467"/>
    <n v="435726"/>
    <n v="4.7300000000000004"/>
    <n v="15969"/>
    <n v="0.33667947287974553"/>
    <x v="0"/>
  </r>
  <r>
    <x v="44"/>
    <x v="0"/>
    <n v="559"/>
    <n v="392"/>
    <n v="167"/>
    <n v="78789"/>
    <n v="3.19"/>
    <n v="2436"/>
    <n v="0.21195852212872357"/>
    <x v="0"/>
  </r>
  <r>
    <x v="44"/>
    <x v="1"/>
    <n v="1307"/>
    <n v="278"/>
    <n v="1029"/>
    <n v="98596"/>
    <n v="2.4900000000000002"/>
    <n v="47603"/>
    <n v="1.0436528865268369"/>
    <x v="0"/>
  </r>
  <r>
    <x v="44"/>
    <x v="2"/>
    <n v="1432"/>
    <n v="425"/>
    <n v="1007"/>
    <n v="29589"/>
    <n v="4.5"/>
    <n v="42964"/>
    <n v="3.4032917638311533"/>
    <x v="0"/>
  </r>
  <r>
    <x v="44"/>
    <x v="3"/>
    <n v="623"/>
    <n v="414"/>
    <n v="209"/>
    <n v="290354"/>
    <n v="6.49"/>
    <n v="39923"/>
    <n v="7.1981098934404214E-2"/>
    <x v="0"/>
  </r>
  <r>
    <x v="45"/>
    <x v="0"/>
    <n v="198"/>
    <n v="358"/>
    <n v="-160"/>
    <n v="66682"/>
    <n v="6.73"/>
    <n v="2293"/>
    <n v="-0.2399448126930806"/>
    <x v="0"/>
  </r>
  <r>
    <x v="45"/>
    <x v="1"/>
    <n v="198"/>
    <n v="373"/>
    <n v="-175"/>
    <n v="70707"/>
    <n v="4.83"/>
    <n v="25920"/>
    <n v="-0.24750024750024749"/>
    <x v="0"/>
  </r>
  <r>
    <x v="45"/>
    <x v="2"/>
    <n v="353"/>
    <n v="300"/>
    <n v="53"/>
    <n v="142507"/>
    <n v="5.3"/>
    <n v="11035"/>
    <n v="3.7191155522184875E-2"/>
    <x v="0"/>
  </r>
  <r>
    <x v="45"/>
    <x v="3"/>
    <n v="520"/>
    <n v="375"/>
    <n v="145"/>
    <n v="369525"/>
    <n v="6.54"/>
    <n v="20733"/>
    <n v="3.9239564305527365E-2"/>
    <x v="0"/>
  </r>
  <r>
    <x v="46"/>
    <x v="0"/>
    <n v="961"/>
    <n v="358"/>
    <n v="603"/>
    <n v="62942"/>
    <n v="6.8"/>
    <n v="18693"/>
    <n v="0.95802484827301337"/>
    <x v="0"/>
  </r>
  <r>
    <x v="46"/>
    <x v="1"/>
    <n v="1375"/>
    <n v="330"/>
    <n v="1045"/>
    <n v="377382"/>
    <n v="2.6"/>
    <n v="7875"/>
    <n v="0.27690774864725926"/>
    <x v="0"/>
  </r>
  <r>
    <x v="46"/>
    <x v="2"/>
    <n v="1147"/>
    <n v="388"/>
    <n v="759"/>
    <n v="333851"/>
    <n v="2.44"/>
    <n v="8471"/>
    <n v="0.22734693021737243"/>
    <x v="0"/>
  </r>
  <r>
    <x v="46"/>
    <x v="3"/>
    <n v="1707"/>
    <n v="74"/>
    <n v="1633"/>
    <n v="270958"/>
    <n v="3.09"/>
    <n v="14090"/>
    <n v="0.60267642955734835"/>
    <x v="0"/>
  </r>
  <r>
    <x v="47"/>
    <x v="0"/>
    <n v="1693"/>
    <n v="154"/>
    <n v="1539"/>
    <n v="445944"/>
    <n v="5.69"/>
    <n v="14216"/>
    <n v="0.34511059684624079"/>
    <x v="0"/>
  </r>
  <r>
    <x v="47"/>
    <x v="1"/>
    <n v="833"/>
    <n v="380"/>
    <n v="453"/>
    <n v="224830"/>
    <n v="3.86"/>
    <n v="3582"/>
    <n v="0.2014855668727483"/>
    <x v="0"/>
  </r>
  <r>
    <x v="47"/>
    <x v="2"/>
    <n v="1222"/>
    <n v="274"/>
    <n v="948"/>
    <n v="487289"/>
    <n v="3.16"/>
    <n v="32500"/>
    <n v="0.19454574184929271"/>
    <x v="0"/>
  </r>
  <r>
    <x v="47"/>
    <x v="3"/>
    <n v="777"/>
    <n v="140"/>
    <n v="637"/>
    <n v="11435"/>
    <n v="1.6"/>
    <n v="6832"/>
    <n v="5.5706165282028861"/>
    <x v="0"/>
  </r>
  <r>
    <x v="48"/>
    <x v="0"/>
    <n v="1957"/>
    <n v="76"/>
    <n v="1881"/>
    <n v="447902"/>
    <n v="6.09"/>
    <n v="33381"/>
    <n v="0.41995793722733987"/>
    <x v="0"/>
  </r>
  <r>
    <x v="48"/>
    <x v="1"/>
    <n v="405"/>
    <n v="66"/>
    <n v="339"/>
    <n v="418696"/>
    <n v="5.59"/>
    <n v="48419"/>
    <n v="8.0965664826031306E-2"/>
    <x v="0"/>
  </r>
  <r>
    <x v="48"/>
    <x v="2"/>
    <n v="1581"/>
    <n v="71"/>
    <n v="1510"/>
    <n v="484364"/>
    <n v="3.55"/>
    <n v="16149"/>
    <n v="0.311749015203442"/>
    <x v="0"/>
  </r>
  <r>
    <x v="48"/>
    <x v="3"/>
    <n v="1035"/>
    <n v="171"/>
    <n v="864"/>
    <n v="148477"/>
    <n v="5.21"/>
    <n v="7541"/>
    <n v="0.58190830903102841"/>
    <x v="0"/>
  </r>
  <r>
    <x v="49"/>
    <x v="0"/>
    <n v="1765"/>
    <n v="109"/>
    <n v="1656"/>
    <n v="468301"/>
    <n v="1.82"/>
    <n v="20042"/>
    <n v="0.35361871958419905"/>
    <x v="0"/>
  </r>
  <r>
    <x v="49"/>
    <x v="1"/>
    <n v="837"/>
    <n v="430"/>
    <n v="407"/>
    <n v="364820"/>
    <n v="4"/>
    <n v="49400"/>
    <n v="0.11156186612576065"/>
    <x v="0"/>
  </r>
  <r>
    <x v="49"/>
    <x v="2"/>
    <n v="337"/>
    <n v="68"/>
    <n v="269"/>
    <n v="456298"/>
    <n v="7.57"/>
    <n v="4007"/>
    <n v="5.8952701962314107E-2"/>
    <x v="0"/>
  </r>
  <r>
    <x v="49"/>
    <x v="3"/>
    <n v="119"/>
    <n v="456"/>
    <n v="-337"/>
    <n v="82558"/>
    <n v="6.81"/>
    <n v="12174"/>
    <n v="-0.408197873010489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68A5C4-1432-443B-812D-3A76ED021A7A}" name="PivotTable2" cacheId="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C73:F78" firstHeaderRow="0" firstDataRow="1" firstDataCol="1"/>
  <pivotFields count="17">
    <pivotField showAll="0"/>
    <pivotField axis="axisRow" showAll="0">
      <items count="5">
        <item x="3"/>
        <item x="2"/>
        <item x="0"/>
        <item x="1"/>
        <item t="default"/>
      </items>
    </pivotField>
    <pivotField numFmtId="14" showAll="0"/>
    <pivotField showAll="0">
      <items count="7">
        <item h="1" x="3"/>
        <item h="1" x="4"/>
        <item h="1" x="0"/>
        <item h="1" x="1"/>
        <item h="1" x="2"/>
        <item x="5"/>
        <item t="default"/>
      </items>
    </pivotField>
    <pivotField showAll="0"/>
    <pivotField dataField="1" showAll="0"/>
    <pivotField dataField="1" showAll="0"/>
    <pivotField dataField="1" showAll="0"/>
    <pivotField showAll="0"/>
    <pivotField showAll="0"/>
    <pivotField showAll="0"/>
    <pivotField showAll="0"/>
    <pivotField showAll="0"/>
    <pivotField showAll="0"/>
    <pivotField numFmtId="14" showAll="0"/>
    <pivotField numFmtId="14" showAll="0"/>
    <pivotField showAll="0"/>
  </pivotFields>
  <rowFields count="1">
    <field x="1"/>
  </rowFields>
  <rowItems count="5">
    <i>
      <x/>
    </i>
    <i>
      <x v="1"/>
    </i>
    <i>
      <x v="2"/>
    </i>
    <i>
      <x v="3"/>
    </i>
    <i t="grand">
      <x/>
    </i>
  </rowItems>
  <colFields count="1">
    <field x="-2"/>
  </colFields>
  <colItems count="3">
    <i>
      <x/>
    </i>
    <i i="1">
      <x v="1"/>
    </i>
    <i i="2">
      <x v="2"/>
    </i>
  </colItems>
  <dataFields count="3">
    <dataField name="Sum of Likes" fld="5" baseField="0" baseItem="0"/>
    <dataField name="Sum of Shares" fld="6" baseField="0" baseItem="0"/>
    <dataField name="Sum of Comments" fld="7" baseField="0" baseItem="0"/>
  </dataFields>
  <formats count="8">
    <format dxfId="42">
      <pivotArea dataOnly="0" labelOnly="1" outline="0" fieldPosition="0">
        <references count="1">
          <reference field="4294967294" count="3">
            <x v="0"/>
            <x v="1"/>
            <x v="2"/>
          </reference>
        </references>
      </pivotArea>
    </format>
    <format dxfId="41">
      <pivotArea outline="0" collapsedLevelsAreSubtotals="1" fieldPosition="0"/>
    </format>
    <format dxfId="40">
      <pivotArea type="all" dataOnly="0" outline="0" fieldPosition="0"/>
    </format>
    <format dxfId="39">
      <pivotArea outline="0" collapsedLevelsAreSubtotals="1" fieldPosition="0"/>
    </format>
    <format dxfId="38">
      <pivotArea field="1" type="button" dataOnly="0" labelOnly="1" outline="0" axis="axisRow" fieldPosition="0"/>
    </format>
    <format dxfId="37">
      <pivotArea dataOnly="0" labelOnly="1" fieldPosition="0">
        <references count="1">
          <reference field="1" count="0"/>
        </references>
      </pivotArea>
    </format>
    <format dxfId="36">
      <pivotArea dataOnly="0" labelOnly="1" grandRow="1" outline="0" fieldPosition="0"/>
    </format>
    <format dxfId="35">
      <pivotArea dataOnly="0" labelOnly="1" outline="0" fieldPosition="0">
        <references count="1">
          <reference field="4294967294" count="3">
            <x v="0"/>
            <x v="1"/>
            <x v="2"/>
          </reference>
        </references>
      </pivotArea>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AC01CF-A3A9-4B3E-A5E3-3825DD2E3B2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02:F108" firstHeaderRow="0" firstDataRow="1" firstDataCol="1"/>
  <pivotFields count="14">
    <pivotField showAll="0"/>
    <pivotField showAll="0"/>
    <pivotField numFmtId="14" showAll="0"/>
    <pivotField showAll="0"/>
    <pivotField showAll="0"/>
    <pivotField showAll="0"/>
    <pivotField showAll="0"/>
    <pivotField showAll="0"/>
    <pivotField showAll="0"/>
    <pivotField dataField="1" showAll="0"/>
    <pivotField dataField="1" showAll="0"/>
    <pivotField axis="axisRow" showAll="0">
      <items count="6">
        <item x="4"/>
        <item x="1"/>
        <item x="0"/>
        <item x="3"/>
        <item x="2"/>
        <item t="default"/>
      </items>
    </pivotField>
    <pivotField showAll="0"/>
    <pivotField dataField="1" showAll="0"/>
  </pivotFields>
  <rowFields count="1">
    <field x="11"/>
  </rowFields>
  <rowItems count="6">
    <i>
      <x/>
    </i>
    <i>
      <x v="1"/>
    </i>
    <i>
      <x v="2"/>
    </i>
    <i>
      <x v="3"/>
    </i>
    <i>
      <x v="4"/>
    </i>
    <i t="grand">
      <x/>
    </i>
  </rowItems>
  <colFields count="1">
    <field x="-2"/>
  </colFields>
  <colItems count="3">
    <i>
      <x/>
    </i>
    <i i="1">
      <x v="1"/>
    </i>
    <i i="2">
      <x v="2"/>
    </i>
  </colItems>
  <dataFields count="3">
    <dataField name="Average of Reach" fld="9" subtotal="average" baseField="11" baseItem="0"/>
    <dataField name="Average of Clicks" fld="10" subtotal="average" baseField="11" baseItem="0"/>
    <dataField name="Average of Engagement_Rate" fld="13" subtotal="average" baseField="11" baseItem="0"/>
  </dataFields>
  <formats count="2">
    <format dxfId="44">
      <pivotArea outline="0" collapsedLevelsAreSubtotals="1" fieldPosition="0"/>
    </format>
    <format dxfId="43">
      <pivotArea dataOnly="0" labelOnly="1" outline="0" fieldPosition="0">
        <references count="1">
          <reference field="4294967294" count="3">
            <x v="0"/>
            <x v="1"/>
            <x v="2"/>
          </reference>
        </references>
      </pivotArea>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CFC7C8-D9E1-42FF-8EBD-E4548BC930F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ashtags">
  <location ref="C90:D96" firstHeaderRow="1" firstDataRow="1" firstDataCol="1"/>
  <pivotFields count="14">
    <pivotField showAll="0"/>
    <pivotField showAll="0"/>
    <pivotField numFmtId="14" showAll="0"/>
    <pivotField showAll="0"/>
    <pivotField showAll="0"/>
    <pivotField showAll="0"/>
    <pivotField showAll="0"/>
    <pivotField showAll="0"/>
    <pivotField showAll="0"/>
    <pivotField showAll="0"/>
    <pivotField dataField="1" showAll="0"/>
    <pivotField axis="axisRow" showAll="0">
      <items count="6">
        <item x="4"/>
        <item x="1"/>
        <item x="0"/>
        <item x="3"/>
        <item x="2"/>
        <item t="default"/>
      </items>
    </pivotField>
    <pivotField showAll="0"/>
    <pivotField showAll="0"/>
  </pivotFields>
  <rowFields count="1">
    <field x="11"/>
  </rowFields>
  <rowItems count="6">
    <i>
      <x/>
    </i>
    <i>
      <x v="1"/>
    </i>
    <i>
      <x v="2"/>
    </i>
    <i>
      <x v="3"/>
    </i>
    <i>
      <x v="4"/>
    </i>
    <i t="grand">
      <x/>
    </i>
  </rowItems>
  <colItems count="1">
    <i/>
  </colItems>
  <dataFields count="1">
    <dataField name="Average clicks per pot by hashtag" fld="10" subtotal="average" baseField="11" baseItem="0" numFmtId="2"/>
  </dataFields>
  <formats count="6">
    <format dxfId="50">
      <pivotArea outline="0" collapsedLevelsAreSubtotals="1" fieldPosition="0"/>
    </format>
    <format dxfId="49">
      <pivotArea type="all" dataOnly="0" outline="0" fieldPosition="0"/>
    </format>
    <format dxfId="48">
      <pivotArea outline="0" collapsedLevelsAreSubtotals="1" fieldPosition="0"/>
    </format>
    <format dxfId="47">
      <pivotArea field="11" type="button" dataOnly="0" labelOnly="1" outline="0" axis="axisRow" fieldPosition="0"/>
    </format>
    <format dxfId="46">
      <pivotArea dataOnly="0" labelOnly="1" fieldPosition="0">
        <references count="1">
          <reference field="11" count="0"/>
        </references>
      </pivotArea>
    </format>
    <format dxfId="45">
      <pivotArea dataOnly="0" labelOnly="1" outline="0" axis="axisValues"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C7C0C6-26C5-4B24-B1F0-B7F70D7E54B8}"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29:I34" firstHeaderRow="1" firstDataRow="1" firstDataCol="1"/>
  <pivotFields count="1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5">
        <item x="1"/>
        <item x="0"/>
        <item x="2"/>
        <item x="3"/>
        <item t="default"/>
      </items>
    </pivotField>
    <pivotField showAll="0"/>
    <pivotField showAll="0"/>
    <pivotField showAll="0"/>
    <pivotField showAll="0"/>
    <pivotField numFmtId="2" showAll="0"/>
    <pivotField showAll="0"/>
    <pivotField dataField="1" numFmtId="2" showAll="0"/>
    <pivotField showAll="0"/>
  </pivotFields>
  <rowFields count="1">
    <field x="1"/>
  </rowFields>
  <rowItems count="5">
    <i>
      <x/>
    </i>
    <i>
      <x v="1"/>
    </i>
    <i>
      <x v="2"/>
    </i>
    <i>
      <x v="3"/>
    </i>
    <i t="grand">
      <x/>
    </i>
  </rowItems>
  <colItems count="1">
    <i/>
  </colItems>
  <dataFields count="1">
    <dataField name="Average of Followersgrowth_Rate" fld="8" subtotal="average" baseField="1" baseItem="0" numFmtId="2"/>
  </dataFields>
  <chartFormats count="4">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 count="1" selected="0">
            <x v="2"/>
          </reference>
        </references>
      </pivotArea>
    </chartFormat>
    <chartFormat chart="5" format="2">
      <pivotArea type="data" outline="0" fieldPosition="0">
        <references count="2">
          <reference field="4294967294" count="1" selected="0">
            <x v="0"/>
          </reference>
          <reference field="1" count="1" selected="0">
            <x v="3"/>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C1DD08-D5F3-40D1-A937-D99408E559BF}"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H52:J57" firstHeaderRow="0" firstDataRow="1" firstDataCol="1"/>
  <pivotFields count="1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5">
        <item x="1"/>
        <item x="0"/>
        <item x="2"/>
        <item x="3"/>
        <item t="default"/>
      </items>
    </pivotField>
    <pivotField showAll="0"/>
    <pivotField showAll="0"/>
    <pivotField showAll="0"/>
    <pivotField showAll="0"/>
    <pivotField dataField="1" numFmtId="2" showAll="0"/>
    <pivotField dataField="1" showAll="0"/>
    <pivotField numFmtId="2" showAll="0"/>
    <pivotField showAll="0"/>
  </pivotFields>
  <rowFields count="1">
    <field x="1"/>
  </rowFields>
  <rowItems count="5">
    <i>
      <x/>
    </i>
    <i>
      <x v="1"/>
    </i>
    <i>
      <x v="2"/>
    </i>
    <i>
      <x v="3"/>
    </i>
    <i t="grand">
      <x/>
    </i>
  </rowItems>
  <colFields count="1">
    <field x="-2"/>
  </colFields>
  <colItems count="2">
    <i>
      <x/>
    </i>
    <i i="1">
      <x v="1"/>
    </i>
  </colItems>
  <dataFields count="2">
    <dataField name="Average of Ad_Spend" fld="7" subtotal="average" baseField="1" baseItem="0"/>
    <dataField name="Average of Engagement_Rate" fld="6" subtotal="average" baseField="1" baseItem="0" numFmtId="2"/>
  </dataFields>
  <formats count="3">
    <format dxfId="34">
      <pivotArea dataOnly="0" labelOnly="1" outline="0" fieldPosition="0">
        <references count="1">
          <reference field="4294967294" count="2">
            <x v="0"/>
            <x v="1"/>
          </reference>
        </references>
      </pivotArea>
    </format>
    <format dxfId="33">
      <pivotArea dataOnly="0" labelOnly="1" outline="0" fieldPosition="0">
        <references count="1">
          <reference field="4294967294" count="2">
            <x v="0"/>
            <x v="1"/>
          </reference>
        </references>
      </pivotArea>
    </format>
    <format dxfId="32">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72FB92-59DB-4E95-8E7F-2279058123B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72:D79" firstHeaderRow="0" firstDataRow="1" firstDataCol="1"/>
  <pivotFields count="17">
    <pivotField showAll="0"/>
    <pivotField showAll="0"/>
    <pivotField numFmtId="14" showAll="0"/>
    <pivotField axis="axisRow" showAll="0">
      <items count="7">
        <item x="3"/>
        <item x="4"/>
        <item x="0"/>
        <item x="1"/>
        <item x="2"/>
        <item x="5"/>
        <item t="default"/>
      </items>
    </pivotField>
    <pivotField showAll="0"/>
    <pivotField showAll="0"/>
    <pivotField showAll="0"/>
    <pivotField showAll="0"/>
    <pivotField showAll="0"/>
    <pivotField dataField="1" showAll="0"/>
    <pivotField dataField="1" showAll="0"/>
    <pivotField showAll="0"/>
    <pivotField showAll="0"/>
    <pivotField dataField="1" showAll="0"/>
    <pivotField numFmtId="14" showAll="0"/>
    <pivotField numFmtId="14" showAll="0"/>
    <pivotField showAll="0"/>
  </pivotFields>
  <rowFields count="1">
    <field x="3"/>
  </rowFields>
  <rowItems count="7">
    <i>
      <x/>
    </i>
    <i>
      <x v="1"/>
    </i>
    <i>
      <x v="2"/>
    </i>
    <i>
      <x v="3"/>
    </i>
    <i>
      <x v="4"/>
    </i>
    <i>
      <x v="5"/>
    </i>
    <i t="grand">
      <x/>
    </i>
  </rowItems>
  <colFields count="1">
    <field x="-2"/>
  </colFields>
  <colItems count="3">
    <i>
      <x/>
    </i>
    <i i="1">
      <x v="1"/>
    </i>
    <i i="2">
      <x v="2"/>
    </i>
  </colItems>
  <dataFields count="3">
    <dataField name="Average of Engagement_Rate" fld="13" subtotal="average" baseField="3" baseItem="0"/>
    <dataField name="Average of Reach" fld="9" subtotal="average" baseField="3" baseItem="0"/>
    <dataField name="Average of Clicks" fld="10" subtotal="average" baseField="3" baseItem="0"/>
  </dataFields>
  <formats count="4">
    <format dxfId="26">
      <pivotArea dataOnly="0" labelOnly="1" outline="0" fieldPosition="0">
        <references count="1">
          <reference field="4294967294" count="3">
            <x v="0"/>
            <x v="1"/>
            <x v="2"/>
          </reference>
        </references>
      </pivotArea>
    </format>
    <format dxfId="25">
      <pivotArea field="3" type="button" dataOnly="0" labelOnly="1" outline="0" axis="axisRow" fieldPosition="0"/>
    </format>
    <format dxfId="24">
      <pivotArea dataOnly="0" labelOnly="1" outline="0" fieldPosition="0">
        <references count="1">
          <reference field="4294967294" count="3">
            <x v="0"/>
            <x v="1"/>
            <x v="2"/>
          </reference>
        </references>
      </pivotArea>
    </format>
    <format dxfId="23">
      <pivotArea outline="0" collapsedLevelsAreSubtotals="1" fieldPosition="0"/>
    </format>
  </formats>
  <chartFormats count="6">
    <chartFormat chart="10"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2"/>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B99D95-D984-463F-A6BC-ADCB9C73855A}" name="PivotTable4"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115:D120" firstHeaderRow="0" firstDataRow="1" firstDataCol="1"/>
  <pivotFields count="14">
    <pivotField showAll="0"/>
    <pivotField axis="axisRow" showAll="0">
      <items count="5">
        <item x="3"/>
        <item x="2"/>
        <item x="0"/>
        <item x="1"/>
        <item t="default"/>
      </items>
    </pivotField>
    <pivotField numFmtId="14" showAll="0"/>
    <pivotField showAll="0">
      <items count="7">
        <item x="3"/>
        <item h="1" x="4"/>
        <item h="1" x="0"/>
        <item h="1" x="2"/>
        <item h="1" x="1"/>
        <item h="1" x="5"/>
        <item t="default"/>
      </items>
    </pivotField>
    <pivotField showAll="0"/>
    <pivotField showAll="0"/>
    <pivotField showAll="0"/>
    <pivotField showAll="0"/>
    <pivotField showAll="0"/>
    <pivotField dataField="1" showAll="0"/>
    <pivotField dataField="1" showAll="0"/>
    <pivotField showAll="0">
      <items count="6">
        <item x="4"/>
        <item x="1"/>
        <item x="0"/>
        <item x="3"/>
        <item x="2"/>
        <item t="default"/>
      </items>
    </pivotField>
    <pivotField showAll="0"/>
    <pivotField dataField="1" showAll="0"/>
  </pivotFields>
  <rowFields count="1">
    <field x="1"/>
  </rowFields>
  <rowItems count="5">
    <i>
      <x/>
    </i>
    <i>
      <x v="1"/>
    </i>
    <i>
      <x v="2"/>
    </i>
    <i>
      <x v="3"/>
    </i>
    <i t="grand">
      <x/>
    </i>
  </rowItems>
  <colFields count="1">
    <field x="-2"/>
  </colFields>
  <colItems count="3">
    <i>
      <x/>
    </i>
    <i i="1">
      <x v="1"/>
    </i>
    <i i="2">
      <x v="2"/>
    </i>
  </colItems>
  <dataFields count="3">
    <dataField name="Average of Engagement_Rate" fld="13" subtotal="average" baseField="1" baseItem="0"/>
    <dataField name="Average of Reach" fld="9" subtotal="average" baseField="1" baseItem="0"/>
    <dataField name="Average of Clicks" fld="10" subtotal="average" baseField="1" baseItem="0"/>
  </dataFields>
  <formats count="5">
    <format dxfId="31">
      <pivotArea field="1" type="button" dataOnly="0" labelOnly="1" outline="0" axis="axisRow" fieldPosition="0"/>
    </format>
    <format dxfId="30">
      <pivotArea dataOnly="0" labelOnly="1" outline="0" fieldPosition="0">
        <references count="1">
          <reference field="4294967294" count="3">
            <x v="0"/>
            <x v="1"/>
            <x v="2"/>
          </reference>
        </references>
      </pivotArea>
    </format>
    <format dxfId="29">
      <pivotArea dataOnly="0" grandRow="1" axis="axisRow" fieldPosition="0"/>
    </format>
    <format dxfId="28">
      <pivotArea collapsedLevelsAreSubtotals="1" fieldPosition="0">
        <references count="1">
          <reference field="1" count="0"/>
        </references>
      </pivotArea>
    </format>
    <format dxfId="27">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9B69BA-7394-4D79-B4CD-D79CF3339B0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2:D38" firstHeaderRow="0" firstDataRow="1" firstDataCol="1"/>
  <pivotFields count="14">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numFmtId="14" showAll="0"/>
    <pivotField showAll="0"/>
    <pivotField showAll="0"/>
    <pivotField showAll="0"/>
    <pivotField showAll="0"/>
    <pivotField showAll="0"/>
    <pivotField showAll="0"/>
    <pivotField dataField="1" showAll="0"/>
    <pivotField dataField="1" showAll="0"/>
    <pivotField axis="axisRow" showAll="0">
      <items count="6">
        <item x="4"/>
        <item x="1"/>
        <item x="0"/>
        <item x="3"/>
        <item x="2"/>
        <item t="default"/>
      </items>
    </pivotField>
    <pivotField showAll="0"/>
    <pivotField dataField="1" showAll="0"/>
  </pivotFields>
  <rowFields count="1">
    <field x="11"/>
  </rowFields>
  <rowItems count="6">
    <i>
      <x/>
    </i>
    <i>
      <x v="1"/>
    </i>
    <i>
      <x v="2"/>
    </i>
    <i>
      <x v="3"/>
    </i>
    <i>
      <x v="4"/>
    </i>
    <i t="grand">
      <x/>
    </i>
  </rowItems>
  <colFields count="1">
    <field x="-2"/>
  </colFields>
  <colItems count="3">
    <i>
      <x/>
    </i>
    <i i="1">
      <x v="1"/>
    </i>
    <i i="2">
      <x v="2"/>
    </i>
  </colItems>
  <dataFields count="3">
    <dataField name="Average of Reach" fld="9" subtotal="average" baseField="11" baseItem="0"/>
    <dataField name="Average of Clicks" fld="10" subtotal="average" baseField="11" baseItem="0"/>
    <dataField name="Average of Engagement_Rate" fld="13" subtotal="average" baseField="11" baseItem="0"/>
  </dataFields>
  <chartFormats count="3">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17"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C06215A-6B6C-49FC-B74E-74F37E4FD85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B12" firstHeaderRow="1" firstDataRow="1" firstDataCol="1"/>
  <pivotFields count="14">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numFmtId="14" showAll="0"/>
    <pivotField showAll="0"/>
    <pivotField showAll="0"/>
    <pivotField showAll="0"/>
    <pivotField showAll="0"/>
    <pivotField showAll="0"/>
    <pivotField showAll="0"/>
    <pivotField showAll="0"/>
    <pivotField showAll="0"/>
    <pivotField axis="axisRow" showAll="0">
      <items count="6">
        <item x="4"/>
        <item x="1"/>
        <item x="0"/>
        <item x="3"/>
        <item x="2"/>
        <item t="default"/>
      </items>
    </pivotField>
    <pivotField showAll="0"/>
    <pivotField showAll="0"/>
  </pivotFields>
  <rowFields count="1">
    <field x="11"/>
  </rowFields>
  <rowItems count="6">
    <i>
      <x/>
    </i>
    <i>
      <x v="1"/>
    </i>
    <i>
      <x v="2"/>
    </i>
    <i>
      <x v="3"/>
    </i>
    <i>
      <x v="4"/>
    </i>
    <i t="grand">
      <x/>
    </i>
  </rowItems>
  <colItems count="1">
    <i/>
  </colItems>
  <dataFields count="1">
    <dataField name="Count of Post ID" fld="0" subtotal="count" baseField="11"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AA77C5-30F7-453C-AB43-E64B333AC840}"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6:B62" firstHeaderRow="1" firstDataRow="1" firstDataCol="1"/>
  <pivotFields count="1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showAll="0"/>
    <pivotField numFmtId="2" showAll="0"/>
    <pivotField showAll="0"/>
    <pivotField dataField="1" numFmtId="2" showAll="0"/>
    <pivotField axis="axisRow" showAll="0">
      <items count="6">
        <item x="1"/>
        <item x="2"/>
        <item x="3"/>
        <item x="0"/>
        <item x="4"/>
        <item t="default"/>
      </items>
    </pivotField>
  </pivotFields>
  <rowFields count="1">
    <field x="9"/>
  </rowFields>
  <rowItems count="6">
    <i>
      <x/>
    </i>
    <i>
      <x v="1"/>
    </i>
    <i>
      <x v="2"/>
    </i>
    <i>
      <x v="3"/>
    </i>
    <i>
      <x v="4"/>
    </i>
    <i t="grand">
      <x/>
    </i>
  </rowItems>
  <colItems count="1">
    <i/>
  </colItems>
  <dataFields count="1">
    <dataField name="Average of Followersgrowth_Rate" fld="8" subtotal="average" baseField="8"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83473E0-4357-4BFB-9E37-6934357D260D}" name="PivotTable10"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43:A44" firstHeaderRow="1" firstDataRow="1" firstDataCol="0"/>
  <pivotFields count="1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showAll="0"/>
    <pivotField numFmtId="2" showAll="0"/>
    <pivotField dataField="1" showAll="0"/>
    <pivotField numFmtId="2" showAll="0"/>
    <pivotField showAll="0">
      <items count="6">
        <item x="1"/>
        <item x="2"/>
        <item x="3"/>
        <item x="0"/>
        <item x="4"/>
        <item t="default"/>
      </items>
    </pivotField>
  </pivotFields>
  <rowItems count="1">
    <i/>
  </rowItems>
  <colItems count="1">
    <i/>
  </colItems>
  <dataFields count="1">
    <dataField name="Sum of Ad_Spend" fld="7" baseField="9" baseItem="0" numFmtId="2"/>
  </dataFields>
  <formats count="5">
    <format dxfId="16">
      <pivotArea type="all" dataOnly="0" outline="0" fieldPosition="0"/>
    </format>
    <format dxfId="15">
      <pivotArea outline="0" collapsedLevelsAreSubtotals="1" fieldPosition="0"/>
    </format>
    <format dxfId="14">
      <pivotArea dataOnly="0" labelOnly="1" grandRow="1" outline="0" fieldPosition="0"/>
    </format>
    <format dxfId="13">
      <pivotArea dataOnly="0" labelOnly="1" outline="0" fieldPosition="0">
        <references count="1">
          <reference field="4294967294" count="1">
            <x v="0"/>
          </reference>
        </references>
      </pivotArea>
    </format>
    <format dxfId="1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209FCD-B3CA-47EF-95E9-D0ED193C6F78}" name="PivotTable7" cacheId="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rowHeaderCaption="Campaign Name">
  <location ref="A27:D31" firstHeaderRow="0" firstDataRow="1" firstDataCol="1"/>
  <pivotFields count="17">
    <pivotField showAll="0"/>
    <pivotField showAll="0"/>
    <pivotField numFmtId="14" showAll="0"/>
    <pivotField showAll="0"/>
    <pivotField showAll="0"/>
    <pivotField dataField="1" showAll="0"/>
    <pivotField dataField="1" showAll="0"/>
    <pivotField dataField="1" showAll="0"/>
    <pivotField showAll="0"/>
    <pivotField showAll="0"/>
    <pivotField showAll="0"/>
    <pivotField showAll="0"/>
    <pivotField showAll="0">
      <items count="5">
        <item h="1" x="1"/>
        <item h="1" x="0"/>
        <item h="1" x="2"/>
        <item x="3"/>
        <item t="default"/>
      </items>
    </pivotField>
    <pivotField showAll="0"/>
    <pivotField numFmtId="14" showAll="0"/>
    <pivotField numFmtId="14" showAll="0"/>
    <pivotField axis="axisRow" showAll="0">
      <items count="4">
        <item x="0"/>
        <item x="2"/>
        <item x="1"/>
        <item t="default"/>
      </items>
    </pivotField>
  </pivotFields>
  <rowFields count="1">
    <field x="16"/>
  </rowFields>
  <rowItems count="4">
    <i>
      <x/>
    </i>
    <i>
      <x v="1"/>
    </i>
    <i>
      <x v="2"/>
    </i>
    <i t="grand">
      <x/>
    </i>
  </rowItems>
  <colFields count="1">
    <field x="-2"/>
  </colFields>
  <colItems count="3">
    <i>
      <x/>
    </i>
    <i i="1">
      <x v="1"/>
    </i>
    <i i="2">
      <x v="2"/>
    </i>
  </colItems>
  <dataFields count="3">
    <dataField name="Sum of Likes" fld="5" baseField="0" baseItem="0"/>
    <dataField name="Sum of Shares" fld="6" baseField="0" baseItem="0"/>
    <dataField name="Sum of Comments" fld="7" baseField="0" baseItem="0"/>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75A0072-8556-4F2A-BA26-DD6295F5741A}" name="PivotTable5" cacheId="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15:F20" firstHeaderRow="0" firstDataRow="1" firstDataCol="1"/>
  <pivotFields count="17">
    <pivotField showAll="0"/>
    <pivotField showAll="0"/>
    <pivotField numFmtId="14" showAll="0"/>
    <pivotField showAll="0"/>
    <pivotField showAll="0"/>
    <pivotField dataField="1" showAll="0"/>
    <pivotField dataField="1" showAll="0"/>
    <pivotField dataField="1" showAll="0"/>
    <pivotField dataField="1" showAll="0"/>
    <pivotField showAll="0"/>
    <pivotField dataField="1" showAll="0"/>
    <pivotField showAll="0"/>
    <pivotField axis="axisRow" showAll="0">
      <items count="5">
        <item x="1"/>
        <item x="0"/>
        <item x="2"/>
        <item x="3"/>
        <item t="default"/>
      </items>
    </pivotField>
    <pivotField showAll="0"/>
    <pivotField numFmtId="14" showAll="0"/>
    <pivotField numFmtId="14" showAll="0"/>
    <pivotField showAll="0"/>
  </pivotFields>
  <rowFields count="1">
    <field x="12"/>
  </rowFields>
  <rowItems count="5">
    <i>
      <x/>
    </i>
    <i>
      <x v="1"/>
    </i>
    <i>
      <x v="2"/>
    </i>
    <i>
      <x v="3"/>
    </i>
    <i t="grand">
      <x/>
    </i>
  </rowItems>
  <colFields count="1">
    <field x="-2"/>
  </colFields>
  <colItems count="5">
    <i>
      <x/>
    </i>
    <i i="1">
      <x v="1"/>
    </i>
    <i i="2">
      <x v="2"/>
    </i>
    <i i="3">
      <x v="3"/>
    </i>
    <i i="4">
      <x v="4"/>
    </i>
  </colItems>
  <dataFields count="5">
    <dataField name="Average of Impressions" fld="8" subtotal="average" baseField="12" baseItem="0"/>
    <dataField name="Average of Comments" fld="7" subtotal="average" baseField="12" baseItem="0"/>
    <dataField name="Average of Likes" fld="5" subtotal="average" baseField="12" baseItem="0"/>
    <dataField name="Average of Clicks" fld="10" subtotal="average" baseField="12" baseItem="0"/>
    <dataField name="Average of Shares" fld="6" subtotal="average" baseField="12" baseItem="0"/>
  </dataFields>
  <formats count="3">
    <format dxfId="20">
      <pivotArea outline="0" collapsedLevelsAreSubtotals="1" fieldPosition="0"/>
    </format>
    <format dxfId="19">
      <pivotArea dataOnly="0" labelOnly="1" outline="0" fieldPosition="0">
        <references count="1">
          <reference field="4294967294" count="3">
            <x v="0"/>
            <x v="2"/>
            <x v="3"/>
          </reference>
        </references>
      </pivotArea>
    </format>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563B46B-2B03-4439-8397-3C4C2A3AC340}" name="PivotTable3" cacheId="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5:F10" firstHeaderRow="0" firstDataRow="1" firstDataCol="1"/>
  <pivotFields count="17">
    <pivotField showAll="0"/>
    <pivotField showAll="0"/>
    <pivotField numFmtId="14" showAll="0"/>
    <pivotField showAll="0"/>
    <pivotField showAll="0"/>
    <pivotField dataField="1" showAll="0"/>
    <pivotField dataField="1" showAll="0"/>
    <pivotField dataField="1" showAll="0"/>
    <pivotField dataField="1" showAll="0"/>
    <pivotField showAll="0"/>
    <pivotField dataField="1" showAll="0"/>
    <pivotField showAll="0"/>
    <pivotField axis="axisRow" showAll="0">
      <items count="5">
        <item x="1"/>
        <item x="0"/>
        <item x="2"/>
        <item x="3"/>
        <item t="default"/>
      </items>
    </pivotField>
    <pivotField showAll="0"/>
    <pivotField numFmtId="14" showAll="0"/>
    <pivotField numFmtId="14" showAll="0"/>
    <pivotField showAll="0"/>
  </pivotFields>
  <rowFields count="1">
    <field x="12"/>
  </rowFields>
  <rowItems count="5">
    <i>
      <x/>
    </i>
    <i>
      <x v="1"/>
    </i>
    <i>
      <x v="2"/>
    </i>
    <i>
      <x v="3"/>
    </i>
    <i t="grand">
      <x/>
    </i>
  </rowItems>
  <colFields count="1">
    <field x="-2"/>
  </colFields>
  <colItems count="5">
    <i>
      <x/>
    </i>
    <i i="1">
      <x v="1"/>
    </i>
    <i i="2">
      <x v="2"/>
    </i>
    <i i="3">
      <x v="3"/>
    </i>
    <i i="4">
      <x v="4"/>
    </i>
  </colItems>
  <dataFields count="5">
    <dataField name="Sum of Impressions" fld="8" baseField="0" baseItem="0"/>
    <dataField name="Sum of Comments" fld="7" baseField="0" baseItem="0"/>
    <dataField name="Sum of Shares" fld="6" baseField="0" baseItem="0"/>
    <dataField name="Sum of Likes" fld="5" baseField="0" baseItem="0"/>
    <dataField name="Sum of Clicks" fld="10" baseField="0" baseItem="0"/>
  </dataFields>
  <formats count="2">
    <format dxfId="22">
      <pivotArea outline="0" collapsedLevelsAreSubtotals="1" fieldPosition="0"/>
    </format>
    <format dxfId="21">
      <pivotArea dataOnly="0" labelOnly="1" outline="0" fieldPosition="0">
        <references count="1">
          <reference field="4294967294" count="3">
            <x v="0"/>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DFE7A05-FED7-4D1E-92C1-2156C55D67F5}" name="PivotTable3"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
  <location ref="A5:F57" firstHeaderRow="1" firstDataRow="2" firstDataCol="1"/>
  <pivotFields count="10">
    <pivotField axis="axisRow"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Col" showAll="0">
      <items count="5">
        <item x="1"/>
        <item x="0"/>
        <item x="2"/>
        <item x="3"/>
        <item t="default"/>
      </items>
    </pivotField>
    <pivotField showAll="0"/>
    <pivotField showAll="0"/>
    <pivotField showAll="0"/>
    <pivotField showAll="0"/>
    <pivotField numFmtId="2" showAll="0"/>
    <pivotField showAll="0"/>
    <pivotField dataField="1" numFmtId="2" showAll="0"/>
    <pivotField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1"/>
  </colFields>
  <colItems count="5">
    <i>
      <x/>
    </i>
    <i>
      <x v="1"/>
    </i>
    <i>
      <x v="2"/>
    </i>
    <i>
      <x v="3"/>
    </i>
    <i t="grand">
      <x/>
    </i>
  </colItems>
  <dataFields count="1">
    <dataField name="Average of Followersgrowth_Rate" fld="8" subtotal="average" baseField="0" baseItem="0" numFmtId="2"/>
  </dataFields>
  <formats count="3">
    <format dxfId="2">
      <pivotArea dataOnly="0" labelOnly="1" fieldPosition="0">
        <references count="1">
          <reference field="1" count="0"/>
        </references>
      </pivotArea>
    </format>
    <format dxfId="1">
      <pivotArea dataOnly="0" labelOnly="1" grandCol="1" outline="0" fieldPosition="0"/>
    </format>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728B4C9-16C5-428B-8A02-D3D473103BFA}"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42:B193" firstHeaderRow="1" firstDataRow="1" firstDataCol="1"/>
  <pivotFields count="10">
    <pivotField axis="axisRow"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dataField="1" showAll="0"/>
    <pivotField showAll="0"/>
    <pivotField numFmtId="2" showAll="0"/>
    <pivotField showAll="0"/>
    <pivotField numFmtId="2" showAll="0"/>
    <pivotField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Follower_Gain" fld="4" baseField="0" baseItem="0"/>
  </dataField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020B96F-DA28-4367-BDEC-E3B9B34B0234}"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86:B137" firstHeaderRow="1" firstDataRow="1" firstDataCol="1"/>
  <pivotFields count="10">
    <pivotField axis="axisRow"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dataField="1" showAll="0"/>
    <pivotField showAll="0"/>
    <pivotField numFmtId="2" showAll="0"/>
    <pivotField showAll="0"/>
    <pivotField numFmtId="2" showAll="0"/>
    <pivotField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Follower_Gain" fld="4" baseField="0" baseItem="0"/>
  </dataFields>
  <formats count="1">
    <format dxfId="3">
      <pivotArea dataOnly="0" labelOnly="1" fieldPosition="0">
        <references count="1">
          <reference field="0" count="0"/>
        </references>
      </pivotArea>
    </format>
  </formats>
  <chartFormats count="2">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3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4" xr16:uid="{A73D7DD1-4530-4771-BE26-3B1ECC6EAFE6}" autoFormatId="16" applyNumberFormats="0" applyBorderFormats="0" applyFontFormats="0" applyPatternFormats="0" applyAlignmentFormats="0" applyWidthHeightFormats="0">
  <queryTableRefresh nextId="15">
    <queryTableFields count="14">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12" name="Hashtags Used" tableColumnId="12"/>
      <queryTableField id="13" name="Campaign_Name" tableColumnId="13"/>
      <queryTableField id="14" name="Engagement_Rate"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CD09B942-04D4-4A82-9440-7E2D6ACE7BE6}" autoFormatId="16" applyNumberFormats="0" applyBorderFormats="0" applyFontFormats="0" applyPatternFormats="0" applyAlignmentFormats="0" applyWidthHeightFormats="0">
  <queryTableRefresh nextId="23">
    <queryTableFields count="17">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12" name="Hashtags Used" tableColumnId="12"/>
      <queryTableField id="13" name="Campaign_Name" tableColumnId="13"/>
      <queryTableField id="16" name="Engagement_Rate" tableColumnId="14"/>
      <queryTableField id="20" name="Start_Date" tableColumnId="15"/>
      <queryTableField id="21" name="End_Date" tableColumnId="16"/>
      <queryTableField id="22" name="Custom" tableColumnId="17"/>
    </queryTableFields>
    <queryTableDeletedFields count="1">
      <deletedField name="Engagement_Rate"/>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A220BF93-48B2-4351-902B-08EB2BE20521}" autoFormatId="16" applyNumberFormats="0" applyBorderFormats="0" applyFontFormats="0" applyPatternFormats="0" applyAlignmentFormats="0" applyWidthHeightFormats="0">
  <queryTableRefresh nextId="12" unboundColumnsRight="1">
    <queryTableFields count="10">
      <queryTableField id="1" name="Week_Start_Date" tableColumnId="1"/>
      <queryTableField id="2" name="Platform" tableColumnId="2"/>
      <queryTableField id="3" name="New_Followers" tableColumnId="3"/>
      <queryTableField id="4" name="Unfollows" tableColumnId="4"/>
      <queryTableField id="11" dataBound="0" tableColumnId="9"/>
      <queryTableField id="5" name="Total_Followers" tableColumnId="5"/>
      <queryTableField id="6" name="Engagement_Rate" tableColumnId="6"/>
      <queryTableField id="7" name="Ad_Spend" tableColumnId="7"/>
      <queryTableField id="8" name="Followersgrowth_Rate" tableColumnId="8"/>
      <queryTableField id="10" dataBound="0"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1" xr16:uid="{9FE33AE6-08E6-406E-A5D9-BC599FC1A079}" autoFormatId="16" applyNumberFormats="0" applyBorderFormats="0" applyFontFormats="0" applyPatternFormats="0" applyAlignmentFormats="0" applyWidthHeightFormats="0">
  <queryTableRefresh nextId="7">
    <queryTableFields count="6">
      <queryTableField id="1" name="Campaign_Name" tableColumnId="1"/>
      <queryTableField id="2" name="Start_Date" tableColumnId="2"/>
      <queryTableField id="3" name="End_Date" tableColumnId="3"/>
      <queryTableField id="4" name="Objective" tableColumnId="4"/>
      <queryTableField id="5" name="Total_Budget" tableColumnId="5"/>
      <queryTableField id="6" name="Target_Platforms"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_Type1" xr10:uid="{64C2D1B7-4EF0-4CC3-B494-0B5DE7F0B362}" sourceName="Content Type">
  <pivotTables>
    <pivotTable tabId="1" name="PivotTable2"/>
  </pivotTables>
  <data>
    <tabular pivotCacheId="505409662">
      <items count="6">
        <i x="3"/>
        <i x="4"/>
        <i x="0"/>
        <i x="1"/>
        <i x="2"/>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_Type" xr10:uid="{32D0BA2E-81B3-4E0F-A8E8-BBA1079EE690}" sourceName="Content Type">
  <pivotTables>
    <pivotTable tabId="22" name="PivotTable4"/>
  </pivotTables>
  <data>
    <tabular pivotCacheId="390879456">
      <items count="6">
        <i x="3" s="1"/>
        <i x="4"/>
        <i x="0"/>
        <i x="2"/>
        <i x="1"/>
        <i x="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16676BB5-A046-498E-A0C1-7C21DDB39E71}" sourceName="Platform">
  <pivotTables>
    <pivotTable tabId="40" name="PivotTable3"/>
  </pivotTables>
  <data>
    <tabular pivotCacheId="2040253057">
      <items count="4">
        <i x="1"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Name" xr10:uid="{F1E9C413-EE53-4E67-8CD3-7D49A0750E6A}" sourceName="Campaign_Name">
  <pivotTables>
    <pivotTable tabId="33" name="PivotTable7"/>
  </pivotTables>
  <data>
    <tabular pivotCacheId="505409662">
      <items count="4">
        <i x="1"/>
        <i x="0"/>
        <i x="2"/>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ent Type 1" xr10:uid="{237E834F-1949-4599-BF7E-3A8AE9EAE88D}" cache="Slicer_Content_Type1" caption="Content Type" style="SlicerStyleLight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ent Type 2" xr10:uid="{F5A112B2-BD30-485A-9F51-7D3AE7F55A39}" cache="Slicer_Content_Type" caption="Content Type"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_Name" xr10:uid="{ECF047A6-955F-4030-ABF1-A27C1DA63E27}" cache="Slicer_Campaign_Name" caption="Campaign_Name"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49978C5E-218F-4DC6-912D-AD8624CA6768}" cache="Slicer_Platform" caption="Platform"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E8AD40F-186D-450B-8027-2592506EBE80}" name="Post_hashtag" displayName="Post_hashtag" ref="A1:N458" tableType="queryTable" totalsRowCount="1">
  <autoFilter ref="A1:N457" xr:uid="{BE8AD40F-186D-450B-8027-2592506EBE80}"/>
  <tableColumns count="14">
    <tableColumn id="1" xr3:uid="{33E5D82B-8487-4277-A1CF-37037FC450D8}" uniqueName="1" name="Post ID" queryTableFieldId="1" dataDxfId="89" totalsRowDxfId="88"/>
    <tableColumn id="2" xr3:uid="{7042EDF1-579C-4FC0-BB50-8292C83271E4}" uniqueName="2" name="Platform" queryTableFieldId="2" dataDxfId="87" totalsRowDxfId="86"/>
    <tableColumn id="3" xr3:uid="{1F162C42-133F-4D68-A737-67BA74DCA95F}" uniqueName="3" name="Date" queryTableFieldId="3" dataDxfId="85" totalsRowDxfId="84"/>
    <tableColumn id="4" xr3:uid="{CE6D22DE-C0BA-49E8-AD84-35455579254E}" uniqueName="4" name="Content Type" queryTableFieldId="4" dataDxfId="83" totalsRowDxfId="82"/>
    <tableColumn id="5" xr3:uid="{3E4B60B1-F275-4D3E-B10E-F5A1A42762EB}" uniqueName="5" name="Post Text" queryTableFieldId="5" dataDxfId="81" totalsRowDxfId="80"/>
    <tableColumn id="6" xr3:uid="{C8F1B24E-C5E6-40AB-8DB5-60ACF4B5D033}" uniqueName="6" name="Likes" queryTableFieldId="6"/>
    <tableColumn id="7" xr3:uid="{051D1A22-9138-40EB-B6E4-E72B2D51496A}" uniqueName="7" name="Shares" queryTableFieldId="7"/>
    <tableColumn id="8" xr3:uid="{93D35C60-72D8-4D7F-9268-921B2C4846AE}" uniqueName="8" name="Comments" queryTableFieldId="8"/>
    <tableColumn id="9" xr3:uid="{D364CC24-2D34-42FB-B7CD-D4538079BB32}" uniqueName="9" name="Impressions" queryTableFieldId="9"/>
    <tableColumn id="10" xr3:uid="{C4E4A244-4EAB-4D3A-8AC8-9BE789517BE8}" uniqueName="10" name="Reach" queryTableFieldId="10"/>
    <tableColumn id="11" xr3:uid="{FC65630D-6341-4C84-BBEA-D62C6D83CD30}" uniqueName="11" name="Clicks" queryTableFieldId="11"/>
    <tableColumn id="12" xr3:uid="{ABF58AD2-2029-4672-85B8-6F87A3B14FC9}" uniqueName="12" name="Hashtags Used" queryTableFieldId="12" dataDxfId="79" totalsRowDxfId="78"/>
    <tableColumn id="13" xr3:uid="{CD75A330-803F-4739-BE9C-F36A2F5EFF21}" uniqueName="13" name="Campaign_Name" queryTableFieldId="13" dataDxfId="77" totalsRowDxfId="76"/>
    <tableColumn id="14" xr3:uid="{2BF93F2A-CD94-4FAC-991E-EA5709D8C7DE}" uniqueName="14" name="Engagement_Rate" queryTableField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B135DE-4E4F-412A-960C-C04AB6CD7735}" name="Post_Engagement" displayName="Post_Engagement" ref="A1:Q302" tableType="queryTable" totalsRowCount="1">
  <autoFilter ref="A1:Q301" xr:uid="{14B135DE-4E4F-412A-960C-C04AB6CD7735}"/>
  <tableColumns count="17">
    <tableColumn id="1" xr3:uid="{554E8066-42A1-45FF-9884-4A464A84CD92}" uniqueName="1" name="Post ID" queryTableFieldId="1" dataDxfId="75"/>
    <tableColumn id="2" xr3:uid="{17E1233E-DF3D-42B3-A7B3-6BB50A5996BB}" uniqueName="2" name="Platform" queryTableFieldId="2" dataDxfId="74"/>
    <tableColumn id="3" xr3:uid="{8BFB1DAC-7BBC-4CF8-8595-281630A325E8}" uniqueName="3" name="Date" queryTableFieldId="3" dataDxfId="73" totalsRowDxfId="72"/>
    <tableColumn id="4" xr3:uid="{CE4D0220-F845-4A3A-8737-B9495429B263}" uniqueName="4" name="Content Type" queryTableFieldId="4" dataDxfId="71"/>
    <tableColumn id="5" xr3:uid="{B006852D-6C0F-4452-A5F9-5337C600ABE5}" uniqueName="5" name="Post Text" queryTableFieldId="5" dataDxfId="70"/>
    <tableColumn id="6" xr3:uid="{0B44B44A-1B8A-463A-BC0C-3F1E24A1FD68}" uniqueName="6" name="Likes" queryTableFieldId="6"/>
    <tableColumn id="7" xr3:uid="{188C72B3-A9F1-4F3C-9EE7-DABA50DFCC80}" uniqueName="7" name="Shares" queryTableFieldId="7"/>
    <tableColumn id="8" xr3:uid="{439E698D-9739-49B5-B8C9-66370CC5C7D3}" uniqueName="8" name="Comments" queryTableFieldId="8"/>
    <tableColumn id="9" xr3:uid="{7AB7FD31-1A6E-4623-8021-7624FCC7C95E}" uniqueName="9" name="Impressions" queryTableFieldId="9"/>
    <tableColumn id="10" xr3:uid="{C60C169F-31F2-4B51-BC24-603E7842F365}" uniqueName="10" name="Reach" queryTableFieldId="10"/>
    <tableColumn id="11" xr3:uid="{1A74B1A2-3632-4480-9D9B-CE1C1A68183E}" uniqueName="11" name="Clicks" queryTableFieldId="11"/>
    <tableColumn id="12" xr3:uid="{B2C9B208-DACB-4A60-AA87-73DB36EAE093}" uniqueName="12" name="Hashtags Used" queryTableFieldId="12" dataDxfId="69"/>
    <tableColumn id="13" xr3:uid="{B0B0CCB1-C789-4676-84CD-1741C5503EF5}" uniqueName="13" name="Campaign_Name" queryTableFieldId="13" dataDxfId="68"/>
    <tableColumn id="14" xr3:uid="{03691650-1069-4BB0-B742-1AABDD5BCC44}" uniqueName="14" name="Engagement_Rate" queryTableFieldId="16" dataDxfId="67"/>
    <tableColumn id="15" xr3:uid="{52D3EC63-9CAD-4E52-ACA7-47F792B860DC}" uniqueName="15" name="campaign_Start_Date" queryTableFieldId="20" dataDxfId="66"/>
    <tableColumn id="16" xr3:uid="{E1B7216D-5F3C-469A-994F-E59F1D41C485}" uniqueName="16" name="Campaign_End_Date" queryTableFieldId="21" dataDxfId="65"/>
    <tableColumn id="17" xr3:uid="{019369D3-BCC1-4047-AECC-ACD16A37A698}" uniqueName="17" name="Campaign phase" queryTableFieldId="22" dataDxfId="6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A89EF1-5F71-4041-826B-43A49EA61A25}" name="Engagment_Summary" displayName="Engagment_Summary" ref="A1:J202" tableType="queryTable" totalsRowCount="1">
  <autoFilter ref="A1:J201" xr:uid="{D5A89EF1-5F71-4041-826B-43A49EA61A25}"/>
  <tableColumns count="10">
    <tableColumn id="1" xr3:uid="{58F8B660-1C0E-4948-BD6B-9A8A11D813E7}" uniqueName="1" name="Week_Start_Date" queryTableFieldId="1" dataDxfId="63" totalsRowDxfId="62"/>
    <tableColumn id="2" xr3:uid="{0AF41B61-7EAB-417C-B78E-A5F56A009F5A}" uniqueName="2" name="Platform" queryTableFieldId="2" dataDxfId="61"/>
    <tableColumn id="3" xr3:uid="{C338CADC-43A1-48C8-A41F-02B12F17455F}" uniqueName="3" name="New_Followers" queryTableFieldId="3"/>
    <tableColumn id="4" xr3:uid="{BE83E344-ECDA-464D-AA41-2AC4483F8EC0}" uniqueName="4" name="Unfollows" queryTableFieldId="4"/>
    <tableColumn id="9" xr3:uid="{20A6B7AF-9120-47DB-B072-BF2B4AC0D569}" uniqueName="9" name="Follower_Gain" queryTableFieldId="11" dataDxfId="60">
      <calculatedColumnFormula>Engagment_Summary[[#This Row],[New_Followers]]-Engagment_Summary[[#This Row],[Unfollows]]</calculatedColumnFormula>
    </tableColumn>
    <tableColumn id="5" xr3:uid="{71C550DD-687D-464B-A81E-5051BD66AD09}" uniqueName="5" name="Total_Followers" queryTableFieldId="5"/>
    <tableColumn id="6" xr3:uid="{8F4EF400-617B-4431-8676-78BD393F6B7F}" uniqueName="6" name="Engagement_Rate" queryTableFieldId="6" dataDxfId="59" totalsRowDxfId="58"/>
    <tableColumn id="7" xr3:uid="{2A684731-AC5E-46EB-BE4F-95C898461A83}" uniqueName="7" name="Ad_Spend" queryTableFieldId="7"/>
    <tableColumn id="8" xr3:uid="{74F7DC66-1823-4501-A092-4D30D36C24D8}" uniqueName="8" name="Followersgrowth_Rate(%)" queryTableFieldId="8" dataDxfId="57"/>
    <tableColumn id="10" xr3:uid="{9E89F124-E4D7-4DAE-9918-08C6DA8C8092}" uniqueName="10" name="Campaign" queryTableFieldId="10" dataDxfId="56">
      <calculatedColumnFormula array="1">IFERROR(INDEX('Campaign Data'!$A$2:$A$5,MATCH(1,(A2&gt;='Campaign Data'!$B$2:$B$5)*(A2&lt;='Campaign Data'!$C$2:$C$5),0)),"outside campaign")</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9B366E9-B2E7-4A0B-B0E1-23791CF4305C}" name="Campaign_Data" displayName="Campaign_Data" ref="A1:F5" tableType="queryTable" totalsRowShown="0">
  <autoFilter ref="A1:F5" xr:uid="{A9B366E9-B2E7-4A0B-B0E1-23791CF4305C}"/>
  <tableColumns count="6">
    <tableColumn id="1" xr3:uid="{FD2BF9F1-6398-449B-8B0F-279FC8334857}" uniqueName="1" name="Campaign_Name" queryTableFieldId="1" dataDxfId="55"/>
    <tableColumn id="2" xr3:uid="{04F9C617-2EE6-42A3-BA56-64932C861A7B}" uniqueName="2" name="Start_Date" queryTableFieldId="2" dataDxfId="54"/>
    <tableColumn id="3" xr3:uid="{F176D07E-FE18-44D8-9C27-CDEE4F68BE7A}" uniqueName="3" name="End_Date" queryTableFieldId="3" dataDxfId="53"/>
    <tableColumn id="4" xr3:uid="{48A506E1-95D5-4427-AEFF-88BCA9F0AD8E}" uniqueName="4" name="Objective" queryTableFieldId="4" dataDxfId="52"/>
    <tableColumn id="5" xr3:uid="{D4A9DF7C-BF30-4E67-A10E-4A3CF2B66D3C}" uniqueName="5" name="Total_Budget" queryTableFieldId="5"/>
    <tableColumn id="6" xr3:uid="{859640E3-9B00-4AA3-96AF-A697ABB41260}" uniqueName="6" name="Target_Platforms" queryTableFieldId="6" dataDxfId="5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70C00CA-32DC-4EAC-AC3D-F20B6DF6C175}" name="Table10" displayName="Table10" ref="A45:D50" totalsRowShown="0" headerRowDxfId="11" headerRowBorderDxfId="10" tableBorderDxfId="9" totalsRowBorderDxfId="8">
  <autoFilter ref="A45:D50" xr:uid="{62891BD5-CF5A-4C4E-8FFB-A0A6291F8E4D}"/>
  <tableColumns count="4">
    <tableColumn id="1" xr3:uid="{A9BD2979-C8A8-49AC-863E-289FC7D309C5}" name="Column1" dataDxfId="7"/>
    <tableColumn id="2" xr3:uid="{446D91F4-B5D0-43FE-BB96-2A8C12FF7E42}" name="Column2" dataDxfId="6"/>
    <tableColumn id="3" xr3:uid="{5195D1A3-BD31-4FB1-857A-57E4CBA7E4FD}" name="Column3" dataDxfId="5"/>
    <tableColumn id="4" xr3:uid="{4DD8D6AA-85FC-4935-8A38-285BA73D4797}" name="Column4"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2.xml"/><Relationship Id="rId5" Type="http://schemas.openxmlformats.org/officeDocument/2006/relationships/drawing" Target="../drawings/drawing3.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5.xml"/><Relationship Id="rId3" Type="http://schemas.openxmlformats.org/officeDocument/2006/relationships/pivotTable" Target="../pivotTables/pivotTable12.xml"/><Relationship Id="rId7" Type="http://schemas.openxmlformats.org/officeDocument/2006/relationships/drawing" Target="../drawings/drawing4.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rinterSettings" Target="../printerSettings/printerSettings1.bin"/><Relationship Id="rId5" Type="http://schemas.openxmlformats.org/officeDocument/2006/relationships/pivotTable" Target="../pivotTables/pivotTable14.xml"/><Relationship Id="rId4" Type="http://schemas.openxmlformats.org/officeDocument/2006/relationships/pivotTable" Target="../pivotTables/pivotTable13.xml"/><Relationship Id="rId9" Type="http://schemas.microsoft.com/office/2007/relationships/slicer" Target="../slicers/slicer3.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microsoft.com/office/2007/relationships/slicer" Target="../slicers/slicer4.xml"/><Relationship Id="rId4"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openxmlformats.org/officeDocument/2006/relationships/hyperlink" Target="https://www.loom.com/share/ce7c98d0552b47408140d9f59d9344d0" TargetMode="External"/><Relationship Id="rId1" Type="http://schemas.openxmlformats.org/officeDocument/2006/relationships/hyperlink" Target="https://www.loom.com/share/ce7c98d0552b47408140d9f59d9344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36760-6A47-40BF-B8FC-D8BCD07B1459}">
  <dimension ref="A1:N458"/>
  <sheetViews>
    <sheetView topLeftCell="E1" workbookViewId="0">
      <selection activeCell="M23" sqref="M23:M24"/>
    </sheetView>
  </sheetViews>
  <sheetFormatPr defaultRowHeight="14.25"/>
  <cols>
    <col min="1" max="1" width="9.75" bestFit="1" customWidth="1"/>
    <col min="2" max="2" width="11" bestFit="1" customWidth="1"/>
    <col min="3" max="3" width="10.375" bestFit="1" customWidth="1"/>
    <col min="4" max="4" width="15.625" bestFit="1" customWidth="1"/>
    <col min="5" max="5" width="52.875" bestFit="1" customWidth="1"/>
    <col min="6" max="6" width="8" bestFit="1" customWidth="1"/>
    <col min="7" max="7" width="9.375" bestFit="1" customWidth="1"/>
    <col min="8" max="8" width="13.25" bestFit="1" customWidth="1"/>
    <col min="9" max="9" width="14.375" bestFit="1" customWidth="1"/>
    <col min="10" max="11" width="8.875" bestFit="1" customWidth="1"/>
    <col min="12" max="12" width="16.75" bestFit="1" customWidth="1"/>
    <col min="13" max="13" width="18.625" bestFit="1" customWidth="1"/>
    <col min="14" max="14" width="19.75" bestFit="1" customWidth="1"/>
  </cols>
  <sheetData>
    <row r="1" spans="1:14">
      <c r="A1" t="s">
        <v>0</v>
      </c>
      <c r="B1" t="s">
        <v>1</v>
      </c>
      <c r="C1" t="s">
        <v>2</v>
      </c>
      <c r="D1" t="s">
        <v>3</v>
      </c>
      <c r="E1" t="s">
        <v>4</v>
      </c>
      <c r="F1" t="s">
        <v>5</v>
      </c>
      <c r="G1" t="s">
        <v>6</v>
      </c>
      <c r="H1" t="s">
        <v>7</v>
      </c>
      <c r="I1" t="s">
        <v>8</v>
      </c>
      <c r="J1" t="s">
        <v>9</v>
      </c>
      <c r="K1" t="s">
        <v>10</v>
      </c>
      <c r="L1" t="s">
        <v>11</v>
      </c>
      <c r="M1" t="s">
        <v>12</v>
      </c>
      <c r="N1" t="s">
        <v>342</v>
      </c>
    </row>
    <row r="2" spans="1:14">
      <c r="A2" t="s">
        <v>13</v>
      </c>
      <c r="B2" t="s">
        <v>14</v>
      </c>
      <c r="C2" s="1">
        <v>45649</v>
      </c>
      <c r="D2" t="s">
        <v>15</v>
      </c>
      <c r="E2" t="s">
        <v>16</v>
      </c>
      <c r="F2">
        <v>1461</v>
      </c>
      <c r="G2">
        <v>184</v>
      </c>
      <c r="H2">
        <v>344</v>
      </c>
      <c r="I2">
        <v>21915</v>
      </c>
      <c r="J2">
        <v>21675</v>
      </c>
      <c r="K2">
        <v>15</v>
      </c>
      <c r="L2" t="s">
        <v>17</v>
      </c>
      <c r="M2" t="s">
        <v>18</v>
      </c>
      <c r="N2">
        <v>9.08</v>
      </c>
    </row>
    <row r="3" spans="1:14">
      <c r="A3" t="s">
        <v>19</v>
      </c>
      <c r="B3" t="s">
        <v>14</v>
      </c>
      <c r="C3" s="1">
        <v>45750</v>
      </c>
      <c r="D3" t="s">
        <v>20</v>
      </c>
      <c r="E3" t="s">
        <v>21</v>
      </c>
      <c r="F3">
        <v>4054</v>
      </c>
      <c r="G3">
        <v>389</v>
      </c>
      <c r="H3">
        <v>493</v>
      </c>
      <c r="I3">
        <v>64864</v>
      </c>
      <c r="J3">
        <v>64383</v>
      </c>
      <c r="K3">
        <v>117</v>
      </c>
      <c r="L3" t="s">
        <v>22</v>
      </c>
      <c r="M3" t="s">
        <v>23</v>
      </c>
      <c r="N3">
        <v>7.61</v>
      </c>
    </row>
    <row r="4" spans="1:14">
      <c r="A4" t="s">
        <v>24</v>
      </c>
      <c r="B4" t="s">
        <v>25</v>
      </c>
      <c r="C4" s="1">
        <v>45789</v>
      </c>
      <c r="D4" t="s">
        <v>15</v>
      </c>
      <c r="E4" t="s">
        <v>16</v>
      </c>
      <c r="F4">
        <v>2795</v>
      </c>
      <c r="G4">
        <v>105</v>
      </c>
      <c r="H4">
        <v>49</v>
      </c>
      <c r="I4">
        <v>53105</v>
      </c>
      <c r="J4">
        <v>52307</v>
      </c>
      <c r="K4">
        <v>204</v>
      </c>
      <c r="L4" t="s">
        <v>22</v>
      </c>
      <c r="M4" t="s">
        <v>18</v>
      </c>
      <c r="N4">
        <v>5.55</v>
      </c>
    </row>
    <row r="5" spans="1:14">
      <c r="A5" t="s">
        <v>24</v>
      </c>
      <c r="B5" t="s">
        <v>25</v>
      </c>
      <c r="C5" s="1">
        <v>45789</v>
      </c>
      <c r="D5" t="s">
        <v>15</v>
      </c>
      <c r="E5" t="s">
        <v>16</v>
      </c>
      <c r="F5">
        <v>2795</v>
      </c>
      <c r="G5">
        <v>105</v>
      </c>
      <c r="H5">
        <v>49</v>
      </c>
      <c r="I5">
        <v>53105</v>
      </c>
      <c r="J5">
        <v>52307</v>
      </c>
      <c r="K5">
        <v>204</v>
      </c>
      <c r="L5" t="s">
        <v>17</v>
      </c>
      <c r="M5" t="s">
        <v>18</v>
      </c>
      <c r="N5">
        <v>5.55</v>
      </c>
    </row>
    <row r="6" spans="1:14">
      <c r="A6" t="s">
        <v>26</v>
      </c>
      <c r="B6" t="s">
        <v>27</v>
      </c>
      <c r="C6" s="1">
        <v>45516</v>
      </c>
      <c r="D6" t="s">
        <v>28</v>
      </c>
      <c r="E6" t="s">
        <v>29</v>
      </c>
      <c r="F6">
        <v>2404</v>
      </c>
      <c r="G6">
        <v>363</v>
      </c>
      <c r="H6">
        <v>138</v>
      </c>
      <c r="I6">
        <v>19232</v>
      </c>
      <c r="J6">
        <v>18636</v>
      </c>
      <c r="K6">
        <v>128</v>
      </c>
      <c r="L6" t="s">
        <v>17</v>
      </c>
      <c r="M6" t="s">
        <v>18</v>
      </c>
      <c r="N6">
        <v>15.11</v>
      </c>
    </row>
    <row r="7" spans="1:14">
      <c r="A7" t="s">
        <v>30</v>
      </c>
      <c r="B7" t="s">
        <v>25</v>
      </c>
      <c r="C7" s="1">
        <v>45469</v>
      </c>
      <c r="D7" t="s">
        <v>15</v>
      </c>
      <c r="E7" t="s">
        <v>16</v>
      </c>
      <c r="F7">
        <v>3557</v>
      </c>
      <c r="G7">
        <v>687</v>
      </c>
      <c r="H7">
        <v>424</v>
      </c>
      <c r="I7">
        <v>71140</v>
      </c>
      <c r="J7">
        <v>70701</v>
      </c>
      <c r="K7">
        <v>224</v>
      </c>
      <c r="L7" t="s">
        <v>31</v>
      </c>
      <c r="M7" t="s">
        <v>32</v>
      </c>
      <c r="N7">
        <v>6.56</v>
      </c>
    </row>
    <row r="8" spans="1:14">
      <c r="A8" t="s">
        <v>30</v>
      </c>
      <c r="B8" t="s">
        <v>25</v>
      </c>
      <c r="C8" s="1">
        <v>45469</v>
      </c>
      <c r="D8" t="s">
        <v>15</v>
      </c>
      <c r="E8" t="s">
        <v>16</v>
      </c>
      <c r="F8">
        <v>3557</v>
      </c>
      <c r="G8">
        <v>687</v>
      </c>
      <c r="H8">
        <v>424</v>
      </c>
      <c r="I8">
        <v>71140</v>
      </c>
      <c r="J8">
        <v>70701</v>
      </c>
      <c r="K8">
        <v>224</v>
      </c>
      <c r="L8" t="s">
        <v>22</v>
      </c>
      <c r="M8" t="s">
        <v>32</v>
      </c>
      <c r="N8">
        <v>6.56</v>
      </c>
    </row>
    <row r="9" spans="1:14">
      <c r="A9" t="s">
        <v>33</v>
      </c>
      <c r="B9" t="s">
        <v>34</v>
      </c>
      <c r="C9" s="1">
        <v>45596</v>
      </c>
      <c r="D9" t="s">
        <v>35</v>
      </c>
      <c r="E9" t="s">
        <v>36</v>
      </c>
      <c r="F9">
        <v>2945</v>
      </c>
      <c r="G9">
        <v>930</v>
      </c>
      <c r="H9">
        <v>355</v>
      </c>
      <c r="I9">
        <v>23560</v>
      </c>
      <c r="J9">
        <v>23275</v>
      </c>
      <c r="K9">
        <v>256</v>
      </c>
      <c r="L9" t="s">
        <v>37</v>
      </c>
      <c r="M9" t="s">
        <v>23</v>
      </c>
      <c r="N9">
        <v>17.95</v>
      </c>
    </row>
    <row r="10" spans="1:14">
      <c r="A10" t="s">
        <v>38</v>
      </c>
      <c r="B10" t="s">
        <v>14</v>
      </c>
      <c r="C10" s="1">
        <v>45467</v>
      </c>
      <c r="D10" t="s">
        <v>35</v>
      </c>
      <c r="E10" t="s">
        <v>36</v>
      </c>
      <c r="F10">
        <v>3860</v>
      </c>
      <c r="G10">
        <v>201</v>
      </c>
      <c r="H10">
        <v>279</v>
      </c>
      <c r="I10">
        <v>61760</v>
      </c>
      <c r="J10">
        <v>61660</v>
      </c>
      <c r="K10">
        <v>235</v>
      </c>
      <c r="L10" t="s">
        <v>37</v>
      </c>
      <c r="M10" t="s">
        <v>32</v>
      </c>
      <c r="N10">
        <v>7.03</v>
      </c>
    </row>
    <row r="11" spans="1:14">
      <c r="A11" t="s">
        <v>39</v>
      </c>
      <c r="B11" t="s">
        <v>25</v>
      </c>
      <c r="C11" s="1">
        <v>45486</v>
      </c>
      <c r="D11" t="s">
        <v>40</v>
      </c>
      <c r="E11" t="s">
        <v>41</v>
      </c>
      <c r="F11">
        <v>3929</v>
      </c>
      <c r="G11">
        <v>262</v>
      </c>
      <c r="H11">
        <v>278</v>
      </c>
      <c r="I11">
        <v>43219</v>
      </c>
      <c r="J11">
        <v>42841</v>
      </c>
      <c r="K11">
        <v>39</v>
      </c>
      <c r="L11" t="s">
        <v>22</v>
      </c>
      <c r="M11" t="s">
        <v>32</v>
      </c>
      <c r="N11">
        <v>10.34</v>
      </c>
    </row>
    <row r="12" spans="1:14">
      <c r="A12" t="s">
        <v>39</v>
      </c>
      <c r="B12" t="s">
        <v>25</v>
      </c>
      <c r="C12" s="1">
        <v>45486</v>
      </c>
      <c r="D12" t="s">
        <v>40</v>
      </c>
      <c r="E12" t="s">
        <v>41</v>
      </c>
      <c r="F12">
        <v>3929</v>
      </c>
      <c r="G12">
        <v>262</v>
      </c>
      <c r="H12">
        <v>278</v>
      </c>
      <c r="I12">
        <v>43219</v>
      </c>
      <c r="J12">
        <v>42841</v>
      </c>
      <c r="K12">
        <v>39</v>
      </c>
      <c r="L12" t="s">
        <v>17</v>
      </c>
      <c r="M12" t="s">
        <v>32</v>
      </c>
      <c r="N12">
        <v>10.34</v>
      </c>
    </row>
    <row r="13" spans="1:14">
      <c r="A13" t="s">
        <v>42</v>
      </c>
      <c r="B13" t="s">
        <v>34</v>
      </c>
      <c r="C13" s="1">
        <v>45534</v>
      </c>
      <c r="D13" t="s">
        <v>20</v>
      </c>
      <c r="E13" t="s">
        <v>21</v>
      </c>
      <c r="F13">
        <v>3784</v>
      </c>
      <c r="G13">
        <v>808</v>
      </c>
      <c r="H13">
        <v>404</v>
      </c>
      <c r="I13">
        <v>56760</v>
      </c>
      <c r="J13">
        <v>56343</v>
      </c>
      <c r="K13">
        <v>131</v>
      </c>
      <c r="L13" t="s">
        <v>22</v>
      </c>
      <c r="M13" t="s">
        <v>32</v>
      </c>
      <c r="N13">
        <v>8.8000000000000007</v>
      </c>
    </row>
    <row r="14" spans="1:14">
      <c r="A14" t="s">
        <v>42</v>
      </c>
      <c r="B14" t="s">
        <v>34</v>
      </c>
      <c r="C14" s="1">
        <v>45534</v>
      </c>
      <c r="D14" t="s">
        <v>20</v>
      </c>
      <c r="E14" t="s">
        <v>21</v>
      </c>
      <c r="F14">
        <v>3784</v>
      </c>
      <c r="G14">
        <v>808</v>
      </c>
      <c r="H14">
        <v>404</v>
      </c>
      <c r="I14">
        <v>56760</v>
      </c>
      <c r="J14">
        <v>56343</v>
      </c>
      <c r="K14">
        <v>131</v>
      </c>
      <c r="L14" t="s">
        <v>17</v>
      </c>
      <c r="M14" t="s">
        <v>32</v>
      </c>
      <c r="N14">
        <v>8.8000000000000007</v>
      </c>
    </row>
    <row r="15" spans="1:14">
      <c r="A15" t="s">
        <v>43</v>
      </c>
      <c r="B15" t="s">
        <v>34</v>
      </c>
      <c r="C15" s="1">
        <v>45727</v>
      </c>
      <c r="D15" t="s">
        <v>40</v>
      </c>
      <c r="E15" t="s">
        <v>41</v>
      </c>
      <c r="F15">
        <v>4241</v>
      </c>
      <c r="G15">
        <v>902</v>
      </c>
      <c r="H15">
        <v>47</v>
      </c>
      <c r="I15">
        <v>72097</v>
      </c>
      <c r="J15">
        <v>71598</v>
      </c>
      <c r="K15">
        <v>167</v>
      </c>
      <c r="L15" t="s">
        <v>37</v>
      </c>
      <c r="M15" t="s">
        <v>44</v>
      </c>
      <c r="N15">
        <v>7.2</v>
      </c>
    </row>
    <row r="16" spans="1:14">
      <c r="A16" t="s">
        <v>45</v>
      </c>
      <c r="B16" t="s">
        <v>27</v>
      </c>
      <c r="C16" s="1">
        <v>45690</v>
      </c>
      <c r="D16" t="s">
        <v>28</v>
      </c>
      <c r="E16" t="s">
        <v>29</v>
      </c>
      <c r="F16">
        <v>1792</v>
      </c>
      <c r="G16">
        <v>614</v>
      </c>
      <c r="H16">
        <v>497</v>
      </c>
      <c r="I16">
        <v>25088</v>
      </c>
      <c r="J16">
        <v>24675</v>
      </c>
      <c r="K16">
        <v>65</v>
      </c>
      <c r="L16" t="s">
        <v>31</v>
      </c>
      <c r="M16" t="s">
        <v>18</v>
      </c>
      <c r="N16">
        <v>11.57</v>
      </c>
    </row>
    <row r="17" spans="1:14">
      <c r="A17" t="s">
        <v>46</v>
      </c>
      <c r="B17" t="s">
        <v>34</v>
      </c>
      <c r="C17" s="1">
        <v>45494</v>
      </c>
      <c r="D17" t="s">
        <v>15</v>
      </c>
      <c r="E17" t="s">
        <v>16</v>
      </c>
      <c r="F17">
        <v>1946</v>
      </c>
      <c r="G17">
        <v>686</v>
      </c>
      <c r="H17">
        <v>377</v>
      </c>
      <c r="I17">
        <v>23352</v>
      </c>
      <c r="J17">
        <v>22982</v>
      </c>
      <c r="K17">
        <v>213</v>
      </c>
      <c r="L17" t="s">
        <v>31</v>
      </c>
      <c r="M17" t="s">
        <v>32</v>
      </c>
      <c r="N17">
        <v>12.89</v>
      </c>
    </row>
    <row r="18" spans="1:14">
      <c r="A18" t="s">
        <v>46</v>
      </c>
      <c r="B18" t="s">
        <v>34</v>
      </c>
      <c r="C18" s="1">
        <v>45494</v>
      </c>
      <c r="D18" t="s">
        <v>15</v>
      </c>
      <c r="E18" t="s">
        <v>16</v>
      </c>
      <c r="F18">
        <v>1946</v>
      </c>
      <c r="G18">
        <v>686</v>
      </c>
      <c r="H18">
        <v>377</v>
      </c>
      <c r="I18">
        <v>23352</v>
      </c>
      <c r="J18">
        <v>22982</v>
      </c>
      <c r="K18">
        <v>213</v>
      </c>
      <c r="L18" t="s">
        <v>17</v>
      </c>
      <c r="M18" t="s">
        <v>32</v>
      </c>
      <c r="N18">
        <v>12.89</v>
      </c>
    </row>
    <row r="19" spans="1:14">
      <c r="A19" t="s">
        <v>47</v>
      </c>
      <c r="B19" t="s">
        <v>25</v>
      </c>
      <c r="C19" s="1">
        <v>45614</v>
      </c>
      <c r="D19" t="s">
        <v>35</v>
      </c>
      <c r="E19" t="s">
        <v>36</v>
      </c>
      <c r="F19">
        <v>1171</v>
      </c>
      <c r="G19">
        <v>286</v>
      </c>
      <c r="H19">
        <v>231</v>
      </c>
      <c r="I19">
        <v>22249</v>
      </c>
      <c r="J19">
        <v>21282</v>
      </c>
      <c r="K19">
        <v>114</v>
      </c>
      <c r="L19" t="s">
        <v>22</v>
      </c>
      <c r="M19" t="s">
        <v>44</v>
      </c>
      <c r="N19">
        <v>7.59</v>
      </c>
    </row>
    <row r="20" spans="1:14">
      <c r="A20" t="s">
        <v>48</v>
      </c>
      <c r="B20" t="s">
        <v>34</v>
      </c>
      <c r="C20" s="1">
        <v>45704</v>
      </c>
      <c r="D20" t="s">
        <v>28</v>
      </c>
      <c r="E20" t="s">
        <v>29</v>
      </c>
      <c r="F20">
        <v>4242</v>
      </c>
      <c r="G20">
        <v>555</v>
      </c>
      <c r="H20">
        <v>131</v>
      </c>
      <c r="I20">
        <v>33936</v>
      </c>
      <c r="J20">
        <v>33802</v>
      </c>
      <c r="K20">
        <v>265</v>
      </c>
      <c r="L20" t="s">
        <v>17</v>
      </c>
      <c r="M20" t="s">
        <v>32</v>
      </c>
      <c r="N20">
        <v>14.52</v>
      </c>
    </row>
    <row r="21" spans="1:14">
      <c r="A21" t="s">
        <v>48</v>
      </c>
      <c r="B21" t="s">
        <v>34</v>
      </c>
      <c r="C21" s="1">
        <v>45704</v>
      </c>
      <c r="D21" t="s">
        <v>28</v>
      </c>
      <c r="E21" t="s">
        <v>29</v>
      </c>
      <c r="F21">
        <v>4242</v>
      </c>
      <c r="G21">
        <v>555</v>
      </c>
      <c r="H21">
        <v>131</v>
      </c>
      <c r="I21">
        <v>33936</v>
      </c>
      <c r="J21">
        <v>33802</v>
      </c>
      <c r="K21">
        <v>265</v>
      </c>
      <c r="L21" t="s">
        <v>22</v>
      </c>
      <c r="M21" t="s">
        <v>32</v>
      </c>
      <c r="N21">
        <v>14.52</v>
      </c>
    </row>
    <row r="22" spans="1:14">
      <c r="A22" t="s">
        <v>49</v>
      </c>
      <c r="B22" t="s">
        <v>34</v>
      </c>
      <c r="C22" s="1">
        <v>45589</v>
      </c>
      <c r="D22" t="s">
        <v>50</v>
      </c>
      <c r="E22" t="s">
        <v>51</v>
      </c>
      <c r="F22">
        <v>3888</v>
      </c>
      <c r="G22">
        <v>604</v>
      </c>
      <c r="H22">
        <v>128</v>
      </c>
      <c r="I22">
        <v>77760</v>
      </c>
      <c r="J22">
        <v>77167</v>
      </c>
      <c r="K22">
        <v>20</v>
      </c>
      <c r="L22" t="s">
        <v>22</v>
      </c>
      <c r="M22" t="s">
        <v>18</v>
      </c>
      <c r="N22">
        <v>5.94</v>
      </c>
    </row>
    <row r="23" spans="1:14">
      <c r="A23" t="s">
        <v>49</v>
      </c>
      <c r="B23" t="s">
        <v>34</v>
      </c>
      <c r="C23" s="1">
        <v>45589</v>
      </c>
      <c r="D23" t="s">
        <v>50</v>
      </c>
      <c r="E23" t="s">
        <v>51</v>
      </c>
      <c r="F23">
        <v>3888</v>
      </c>
      <c r="G23">
        <v>604</v>
      </c>
      <c r="H23">
        <v>128</v>
      </c>
      <c r="I23">
        <v>77760</v>
      </c>
      <c r="J23">
        <v>77167</v>
      </c>
      <c r="K23">
        <v>20</v>
      </c>
      <c r="L23" t="s">
        <v>52</v>
      </c>
      <c r="M23" t="s">
        <v>18</v>
      </c>
      <c r="N23">
        <v>5.94</v>
      </c>
    </row>
    <row r="24" spans="1:14">
      <c r="A24" t="s">
        <v>53</v>
      </c>
      <c r="B24" t="s">
        <v>34</v>
      </c>
      <c r="C24" s="1">
        <v>45530</v>
      </c>
      <c r="D24" t="s">
        <v>20</v>
      </c>
      <c r="E24" t="s">
        <v>21</v>
      </c>
      <c r="F24">
        <v>3452</v>
      </c>
      <c r="G24">
        <v>377</v>
      </c>
      <c r="H24">
        <v>360</v>
      </c>
      <c r="I24">
        <v>55232</v>
      </c>
      <c r="J24">
        <v>55075</v>
      </c>
      <c r="K24">
        <v>87</v>
      </c>
      <c r="L24" t="s">
        <v>17</v>
      </c>
      <c r="M24" t="s">
        <v>32</v>
      </c>
      <c r="N24">
        <v>7.58</v>
      </c>
    </row>
    <row r="25" spans="1:14">
      <c r="A25" t="s">
        <v>53</v>
      </c>
      <c r="B25" t="s">
        <v>34</v>
      </c>
      <c r="C25" s="1">
        <v>45530</v>
      </c>
      <c r="D25" t="s">
        <v>20</v>
      </c>
      <c r="E25" t="s">
        <v>21</v>
      </c>
      <c r="F25">
        <v>3452</v>
      </c>
      <c r="G25">
        <v>377</v>
      </c>
      <c r="H25">
        <v>360</v>
      </c>
      <c r="I25">
        <v>55232</v>
      </c>
      <c r="J25">
        <v>55075</v>
      </c>
      <c r="K25">
        <v>87</v>
      </c>
      <c r="L25" t="s">
        <v>52</v>
      </c>
      <c r="M25" t="s">
        <v>32</v>
      </c>
      <c r="N25">
        <v>7.58</v>
      </c>
    </row>
    <row r="26" spans="1:14">
      <c r="A26" t="s">
        <v>54</v>
      </c>
      <c r="B26" t="s">
        <v>34</v>
      </c>
      <c r="C26" s="1">
        <v>45782</v>
      </c>
      <c r="D26" t="s">
        <v>20</v>
      </c>
      <c r="E26" t="s">
        <v>21</v>
      </c>
      <c r="F26">
        <v>4441</v>
      </c>
      <c r="G26">
        <v>511</v>
      </c>
      <c r="H26">
        <v>70</v>
      </c>
      <c r="I26">
        <v>53292</v>
      </c>
      <c r="J26">
        <v>53082</v>
      </c>
      <c r="K26">
        <v>159</v>
      </c>
      <c r="L26" t="s">
        <v>52</v>
      </c>
      <c r="M26" t="s">
        <v>32</v>
      </c>
      <c r="N26">
        <v>9.42</v>
      </c>
    </row>
    <row r="27" spans="1:14">
      <c r="A27" t="s">
        <v>55</v>
      </c>
      <c r="B27" t="s">
        <v>27</v>
      </c>
      <c r="C27" s="1">
        <v>45523</v>
      </c>
      <c r="D27" t="s">
        <v>15</v>
      </c>
      <c r="E27" t="s">
        <v>16</v>
      </c>
      <c r="F27">
        <v>3000</v>
      </c>
      <c r="G27">
        <v>382</v>
      </c>
      <c r="H27">
        <v>325</v>
      </c>
      <c r="I27">
        <v>36000</v>
      </c>
      <c r="J27">
        <v>35819</v>
      </c>
      <c r="K27">
        <v>19</v>
      </c>
      <c r="L27" t="s">
        <v>31</v>
      </c>
      <c r="M27" t="s">
        <v>23</v>
      </c>
      <c r="N27">
        <v>10.3</v>
      </c>
    </row>
    <row r="28" spans="1:14">
      <c r="A28" t="s">
        <v>56</v>
      </c>
      <c r="B28" t="s">
        <v>27</v>
      </c>
      <c r="C28" s="1">
        <v>45466</v>
      </c>
      <c r="D28" t="s">
        <v>50</v>
      </c>
      <c r="E28" t="s">
        <v>51</v>
      </c>
      <c r="F28">
        <v>1071</v>
      </c>
      <c r="G28">
        <v>519</v>
      </c>
      <c r="H28">
        <v>22</v>
      </c>
      <c r="I28">
        <v>16065</v>
      </c>
      <c r="J28">
        <v>15865</v>
      </c>
      <c r="K28">
        <v>103</v>
      </c>
      <c r="L28" t="s">
        <v>17</v>
      </c>
      <c r="M28" t="s">
        <v>32</v>
      </c>
      <c r="N28">
        <v>10.029999999999999</v>
      </c>
    </row>
    <row r="29" spans="1:14">
      <c r="A29" t="s">
        <v>56</v>
      </c>
      <c r="B29" t="s">
        <v>27</v>
      </c>
      <c r="C29" s="1">
        <v>45466</v>
      </c>
      <c r="D29" t="s">
        <v>50</v>
      </c>
      <c r="E29" t="s">
        <v>51</v>
      </c>
      <c r="F29">
        <v>1071</v>
      </c>
      <c r="G29">
        <v>519</v>
      </c>
      <c r="H29">
        <v>22</v>
      </c>
      <c r="I29">
        <v>16065</v>
      </c>
      <c r="J29">
        <v>15865</v>
      </c>
      <c r="K29">
        <v>103</v>
      </c>
      <c r="L29" t="s">
        <v>31</v>
      </c>
      <c r="M29" t="s">
        <v>32</v>
      </c>
      <c r="N29">
        <v>10.029999999999999</v>
      </c>
    </row>
    <row r="30" spans="1:14">
      <c r="A30" t="s">
        <v>57</v>
      </c>
      <c r="B30" t="s">
        <v>27</v>
      </c>
      <c r="C30" s="1">
        <v>45544</v>
      </c>
      <c r="D30" t="s">
        <v>35</v>
      </c>
      <c r="E30" t="s">
        <v>36</v>
      </c>
      <c r="F30">
        <v>4054</v>
      </c>
      <c r="G30">
        <v>488</v>
      </c>
      <c r="H30">
        <v>373</v>
      </c>
      <c r="I30">
        <v>77026</v>
      </c>
      <c r="J30">
        <v>76881</v>
      </c>
      <c r="K30">
        <v>25</v>
      </c>
      <c r="L30" t="s">
        <v>22</v>
      </c>
      <c r="M30" t="s">
        <v>32</v>
      </c>
      <c r="N30">
        <v>6.38</v>
      </c>
    </row>
    <row r="31" spans="1:14">
      <c r="A31" t="s">
        <v>57</v>
      </c>
      <c r="B31" t="s">
        <v>27</v>
      </c>
      <c r="C31" s="1">
        <v>45544</v>
      </c>
      <c r="D31" t="s">
        <v>35</v>
      </c>
      <c r="E31" t="s">
        <v>36</v>
      </c>
      <c r="F31">
        <v>4054</v>
      </c>
      <c r="G31">
        <v>488</v>
      </c>
      <c r="H31">
        <v>373</v>
      </c>
      <c r="I31">
        <v>77026</v>
      </c>
      <c r="J31">
        <v>76881</v>
      </c>
      <c r="K31">
        <v>25</v>
      </c>
      <c r="L31" t="s">
        <v>17</v>
      </c>
      <c r="M31" t="s">
        <v>32</v>
      </c>
      <c r="N31">
        <v>6.38</v>
      </c>
    </row>
    <row r="32" spans="1:14">
      <c r="A32" t="s">
        <v>58</v>
      </c>
      <c r="B32" t="s">
        <v>27</v>
      </c>
      <c r="C32" s="1">
        <v>45661</v>
      </c>
      <c r="D32" t="s">
        <v>15</v>
      </c>
      <c r="E32" t="s">
        <v>16</v>
      </c>
      <c r="F32">
        <v>4838</v>
      </c>
      <c r="G32">
        <v>640</v>
      </c>
      <c r="H32">
        <v>128</v>
      </c>
      <c r="I32">
        <v>72570</v>
      </c>
      <c r="J32">
        <v>72396</v>
      </c>
      <c r="K32">
        <v>83</v>
      </c>
      <c r="L32" t="s">
        <v>31</v>
      </c>
      <c r="M32" t="s">
        <v>32</v>
      </c>
      <c r="N32">
        <v>7.72</v>
      </c>
    </row>
    <row r="33" spans="1:14">
      <c r="A33" t="s">
        <v>58</v>
      </c>
      <c r="B33" t="s">
        <v>27</v>
      </c>
      <c r="C33" s="1">
        <v>45661</v>
      </c>
      <c r="D33" t="s">
        <v>15</v>
      </c>
      <c r="E33" t="s">
        <v>16</v>
      </c>
      <c r="F33">
        <v>4838</v>
      </c>
      <c r="G33">
        <v>640</v>
      </c>
      <c r="H33">
        <v>128</v>
      </c>
      <c r="I33">
        <v>72570</v>
      </c>
      <c r="J33">
        <v>72396</v>
      </c>
      <c r="K33">
        <v>83</v>
      </c>
      <c r="L33" t="s">
        <v>37</v>
      </c>
      <c r="M33" t="s">
        <v>32</v>
      </c>
      <c r="N33">
        <v>7.72</v>
      </c>
    </row>
    <row r="34" spans="1:14">
      <c r="A34" t="s">
        <v>59</v>
      </c>
      <c r="B34" t="s">
        <v>34</v>
      </c>
      <c r="C34" s="1">
        <v>45715</v>
      </c>
      <c r="D34" t="s">
        <v>20</v>
      </c>
      <c r="E34" t="s">
        <v>21</v>
      </c>
      <c r="F34">
        <v>1570</v>
      </c>
      <c r="G34">
        <v>187</v>
      </c>
      <c r="H34">
        <v>260</v>
      </c>
      <c r="I34">
        <v>25120</v>
      </c>
      <c r="J34">
        <v>24613</v>
      </c>
      <c r="K34">
        <v>133</v>
      </c>
      <c r="L34" t="s">
        <v>17</v>
      </c>
      <c r="M34" t="s">
        <v>44</v>
      </c>
      <c r="N34">
        <v>8.0299999999999994</v>
      </c>
    </row>
    <row r="35" spans="1:14">
      <c r="A35" t="s">
        <v>60</v>
      </c>
      <c r="B35" t="s">
        <v>34</v>
      </c>
      <c r="C35" s="1">
        <v>45602</v>
      </c>
      <c r="D35" t="s">
        <v>50</v>
      </c>
      <c r="E35" t="s">
        <v>51</v>
      </c>
      <c r="F35">
        <v>1606</v>
      </c>
      <c r="G35">
        <v>547</v>
      </c>
      <c r="H35">
        <v>316</v>
      </c>
      <c r="I35">
        <v>32120</v>
      </c>
      <c r="J35">
        <v>31736</v>
      </c>
      <c r="K35">
        <v>225</v>
      </c>
      <c r="L35" t="s">
        <v>17</v>
      </c>
      <c r="M35" t="s">
        <v>32</v>
      </c>
      <c r="N35">
        <v>7.69</v>
      </c>
    </row>
    <row r="36" spans="1:14">
      <c r="A36" t="s">
        <v>61</v>
      </c>
      <c r="B36" t="s">
        <v>34</v>
      </c>
      <c r="C36" s="1">
        <v>45680</v>
      </c>
      <c r="D36" t="s">
        <v>50</v>
      </c>
      <c r="E36" t="s">
        <v>51</v>
      </c>
      <c r="F36">
        <v>3961</v>
      </c>
      <c r="G36">
        <v>761</v>
      </c>
      <c r="H36">
        <v>131</v>
      </c>
      <c r="I36">
        <v>67337</v>
      </c>
      <c r="J36">
        <v>66615</v>
      </c>
      <c r="K36">
        <v>161</v>
      </c>
      <c r="L36" t="s">
        <v>37</v>
      </c>
      <c r="M36" t="s">
        <v>23</v>
      </c>
      <c r="N36">
        <v>7.21</v>
      </c>
    </row>
    <row r="37" spans="1:14">
      <c r="A37" t="s">
        <v>62</v>
      </c>
      <c r="B37" t="s">
        <v>14</v>
      </c>
      <c r="C37" s="1">
        <v>45757</v>
      </c>
      <c r="D37" t="s">
        <v>35</v>
      </c>
      <c r="E37" t="s">
        <v>36</v>
      </c>
      <c r="F37">
        <v>3128</v>
      </c>
      <c r="G37">
        <v>211</v>
      </c>
      <c r="H37">
        <v>197</v>
      </c>
      <c r="I37">
        <v>59432</v>
      </c>
      <c r="J37">
        <v>59182</v>
      </c>
      <c r="K37">
        <v>238</v>
      </c>
      <c r="L37" t="s">
        <v>31</v>
      </c>
      <c r="M37" t="s">
        <v>18</v>
      </c>
      <c r="N37">
        <v>5.95</v>
      </c>
    </row>
    <row r="38" spans="1:14">
      <c r="A38" t="s">
        <v>62</v>
      </c>
      <c r="B38" t="s">
        <v>14</v>
      </c>
      <c r="C38" s="1">
        <v>45757</v>
      </c>
      <c r="D38" t="s">
        <v>35</v>
      </c>
      <c r="E38" t="s">
        <v>36</v>
      </c>
      <c r="F38">
        <v>3128</v>
      </c>
      <c r="G38">
        <v>211</v>
      </c>
      <c r="H38">
        <v>197</v>
      </c>
      <c r="I38">
        <v>59432</v>
      </c>
      <c r="J38">
        <v>59182</v>
      </c>
      <c r="K38">
        <v>238</v>
      </c>
      <c r="L38" t="s">
        <v>17</v>
      </c>
      <c r="M38" t="s">
        <v>18</v>
      </c>
      <c r="N38">
        <v>5.95</v>
      </c>
    </row>
    <row r="39" spans="1:14">
      <c r="A39" t="s">
        <v>63</v>
      </c>
      <c r="B39" t="s">
        <v>25</v>
      </c>
      <c r="C39" s="1">
        <v>45752</v>
      </c>
      <c r="D39" t="s">
        <v>15</v>
      </c>
      <c r="E39" t="s">
        <v>16</v>
      </c>
      <c r="F39">
        <v>3009</v>
      </c>
      <c r="G39">
        <v>413</v>
      </c>
      <c r="H39">
        <v>358</v>
      </c>
      <c r="I39">
        <v>42126</v>
      </c>
      <c r="J39">
        <v>41309</v>
      </c>
      <c r="K39">
        <v>211</v>
      </c>
      <c r="L39" t="s">
        <v>17</v>
      </c>
      <c r="M39" t="s">
        <v>23</v>
      </c>
      <c r="N39">
        <v>8.9700000000000006</v>
      </c>
    </row>
    <row r="40" spans="1:14">
      <c r="A40" t="s">
        <v>64</v>
      </c>
      <c r="B40" t="s">
        <v>25</v>
      </c>
      <c r="C40" s="1">
        <v>45552</v>
      </c>
      <c r="D40" t="s">
        <v>20</v>
      </c>
      <c r="E40" t="s">
        <v>21</v>
      </c>
      <c r="F40">
        <v>2076</v>
      </c>
      <c r="G40">
        <v>195</v>
      </c>
      <c r="H40">
        <v>104</v>
      </c>
      <c r="I40">
        <v>33216</v>
      </c>
      <c r="J40">
        <v>32244</v>
      </c>
      <c r="K40">
        <v>51</v>
      </c>
      <c r="L40" t="s">
        <v>37</v>
      </c>
      <c r="M40" t="s">
        <v>44</v>
      </c>
      <c r="N40">
        <v>7.15</v>
      </c>
    </row>
    <row r="41" spans="1:14">
      <c r="A41" t="s">
        <v>65</v>
      </c>
      <c r="B41" t="s">
        <v>27</v>
      </c>
      <c r="C41" s="1">
        <v>45720</v>
      </c>
      <c r="D41" t="s">
        <v>50</v>
      </c>
      <c r="E41" t="s">
        <v>51</v>
      </c>
      <c r="F41">
        <v>432</v>
      </c>
      <c r="G41">
        <v>624</v>
      </c>
      <c r="H41">
        <v>123</v>
      </c>
      <c r="I41">
        <v>6912</v>
      </c>
      <c r="J41">
        <v>6259</v>
      </c>
      <c r="K41">
        <v>79</v>
      </c>
      <c r="L41" t="s">
        <v>17</v>
      </c>
      <c r="M41" t="s">
        <v>23</v>
      </c>
      <c r="N41">
        <v>17.059999999999999</v>
      </c>
    </row>
    <row r="42" spans="1:14">
      <c r="A42" t="s">
        <v>65</v>
      </c>
      <c r="B42" t="s">
        <v>27</v>
      </c>
      <c r="C42" s="1">
        <v>45720</v>
      </c>
      <c r="D42" t="s">
        <v>50</v>
      </c>
      <c r="E42" t="s">
        <v>51</v>
      </c>
      <c r="F42">
        <v>432</v>
      </c>
      <c r="G42">
        <v>624</v>
      </c>
      <c r="H42">
        <v>123</v>
      </c>
      <c r="I42">
        <v>6912</v>
      </c>
      <c r="J42">
        <v>6259</v>
      </c>
      <c r="K42">
        <v>79</v>
      </c>
      <c r="L42" t="s">
        <v>37</v>
      </c>
      <c r="M42" t="s">
        <v>23</v>
      </c>
      <c r="N42">
        <v>17.059999999999999</v>
      </c>
    </row>
    <row r="43" spans="1:14">
      <c r="A43" t="s">
        <v>66</v>
      </c>
      <c r="B43" t="s">
        <v>27</v>
      </c>
      <c r="C43" s="1">
        <v>45688</v>
      </c>
      <c r="D43" t="s">
        <v>35</v>
      </c>
      <c r="E43" t="s">
        <v>36</v>
      </c>
      <c r="F43">
        <v>2566</v>
      </c>
      <c r="G43">
        <v>118</v>
      </c>
      <c r="H43">
        <v>37</v>
      </c>
      <c r="I43">
        <v>12830</v>
      </c>
      <c r="J43">
        <v>12264</v>
      </c>
      <c r="K43">
        <v>221</v>
      </c>
      <c r="L43" t="s">
        <v>37</v>
      </c>
      <c r="M43" t="s">
        <v>32</v>
      </c>
      <c r="N43">
        <v>21.21</v>
      </c>
    </row>
    <row r="44" spans="1:14">
      <c r="A44" t="s">
        <v>66</v>
      </c>
      <c r="B44" t="s">
        <v>27</v>
      </c>
      <c r="C44" s="1">
        <v>45688</v>
      </c>
      <c r="D44" t="s">
        <v>35</v>
      </c>
      <c r="E44" t="s">
        <v>36</v>
      </c>
      <c r="F44">
        <v>2566</v>
      </c>
      <c r="G44">
        <v>118</v>
      </c>
      <c r="H44">
        <v>37</v>
      </c>
      <c r="I44">
        <v>12830</v>
      </c>
      <c r="J44">
        <v>12264</v>
      </c>
      <c r="K44">
        <v>221</v>
      </c>
      <c r="L44" t="s">
        <v>22</v>
      </c>
      <c r="M44" t="s">
        <v>32</v>
      </c>
      <c r="N44">
        <v>21.21</v>
      </c>
    </row>
    <row r="45" spans="1:14">
      <c r="A45" t="s">
        <v>67</v>
      </c>
      <c r="B45" t="s">
        <v>27</v>
      </c>
      <c r="C45" s="1">
        <v>45713</v>
      </c>
      <c r="D45" t="s">
        <v>50</v>
      </c>
      <c r="E45" t="s">
        <v>51</v>
      </c>
      <c r="F45">
        <v>3095</v>
      </c>
      <c r="G45">
        <v>39</v>
      </c>
      <c r="H45">
        <v>78</v>
      </c>
      <c r="I45">
        <v>55710</v>
      </c>
      <c r="J45">
        <v>54808</v>
      </c>
      <c r="K45">
        <v>93</v>
      </c>
      <c r="L45" t="s">
        <v>17</v>
      </c>
      <c r="M45" t="s">
        <v>44</v>
      </c>
      <c r="N45">
        <v>5.77</v>
      </c>
    </row>
    <row r="46" spans="1:14">
      <c r="A46" t="s">
        <v>68</v>
      </c>
      <c r="B46" t="s">
        <v>27</v>
      </c>
      <c r="C46" s="1">
        <v>45642</v>
      </c>
      <c r="D46" t="s">
        <v>20</v>
      </c>
      <c r="E46" t="s">
        <v>21</v>
      </c>
      <c r="F46">
        <v>438</v>
      </c>
      <c r="G46">
        <v>153</v>
      </c>
      <c r="H46">
        <v>275</v>
      </c>
      <c r="I46">
        <v>3066</v>
      </c>
      <c r="J46">
        <v>2701</v>
      </c>
      <c r="K46">
        <v>282</v>
      </c>
      <c r="L46" t="s">
        <v>37</v>
      </c>
      <c r="M46" t="s">
        <v>44</v>
      </c>
      <c r="N46">
        <v>28.25</v>
      </c>
    </row>
    <row r="47" spans="1:14">
      <c r="A47" t="s">
        <v>69</v>
      </c>
      <c r="B47" t="s">
        <v>14</v>
      </c>
      <c r="C47" s="1">
        <v>45504</v>
      </c>
      <c r="D47" t="s">
        <v>35</v>
      </c>
      <c r="E47" t="s">
        <v>36</v>
      </c>
      <c r="F47">
        <v>2278</v>
      </c>
      <c r="G47">
        <v>10</v>
      </c>
      <c r="H47">
        <v>321</v>
      </c>
      <c r="I47">
        <v>13668</v>
      </c>
      <c r="J47">
        <v>12676</v>
      </c>
      <c r="K47">
        <v>275</v>
      </c>
      <c r="L47" t="s">
        <v>37</v>
      </c>
      <c r="M47" t="s">
        <v>44</v>
      </c>
      <c r="N47">
        <v>19.09</v>
      </c>
    </row>
    <row r="48" spans="1:14">
      <c r="A48" t="s">
        <v>69</v>
      </c>
      <c r="B48" t="s">
        <v>14</v>
      </c>
      <c r="C48" s="1">
        <v>45504</v>
      </c>
      <c r="D48" t="s">
        <v>35</v>
      </c>
      <c r="E48" t="s">
        <v>36</v>
      </c>
      <c r="F48">
        <v>2278</v>
      </c>
      <c r="G48">
        <v>10</v>
      </c>
      <c r="H48">
        <v>321</v>
      </c>
      <c r="I48">
        <v>13668</v>
      </c>
      <c r="J48">
        <v>12676</v>
      </c>
      <c r="K48">
        <v>275</v>
      </c>
      <c r="L48" t="s">
        <v>22</v>
      </c>
      <c r="M48" t="s">
        <v>44</v>
      </c>
      <c r="N48">
        <v>19.09</v>
      </c>
    </row>
    <row r="49" spans="1:14">
      <c r="A49" t="s">
        <v>70</v>
      </c>
      <c r="B49" t="s">
        <v>34</v>
      </c>
      <c r="C49" s="1">
        <v>45525</v>
      </c>
      <c r="D49" t="s">
        <v>40</v>
      </c>
      <c r="E49" t="s">
        <v>41</v>
      </c>
      <c r="F49">
        <v>1407</v>
      </c>
      <c r="G49">
        <v>400</v>
      </c>
      <c r="H49">
        <v>351</v>
      </c>
      <c r="I49">
        <v>16884</v>
      </c>
      <c r="J49">
        <v>15954</v>
      </c>
      <c r="K49">
        <v>113</v>
      </c>
      <c r="L49" t="s">
        <v>22</v>
      </c>
      <c r="M49" t="s">
        <v>32</v>
      </c>
      <c r="N49">
        <v>12.78</v>
      </c>
    </row>
    <row r="50" spans="1:14">
      <c r="A50" t="s">
        <v>70</v>
      </c>
      <c r="B50" t="s">
        <v>34</v>
      </c>
      <c r="C50" s="1">
        <v>45525</v>
      </c>
      <c r="D50" t="s">
        <v>40</v>
      </c>
      <c r="E50" t="s">
        <v>41</v>
      </c>
      <c r="F50">
        <v>1407</v>
      </c>
      <c r="G50">
        <v>400</v>
      </c>
      <c r="H50">
        <v>351</v>
      </c>
      <c r="I50">
        <v>16884</v>
      </c>
      <c r="J50">
        <v>15954</v>
      </c>
      <c r="K50">
        <v>113</v>
      </c>
      <c r="L50" t="s">
        <v>52</v>
      </c>
      <c r="M50" t="s">
        <v>32</v>
      </c>
      <c r="N50">
        <v>12.78</v>
      </c>
    </row>
    <row r="51" spans="1:14">
      <c r="A51" t="s">
        <v>71</v>
      </c>
      <c r="B51" t="s">
        <v>34</v>
      </c>
      <c r="C51" s="1">
        <v>45742</v>
      </c>
      <c r="D51" t="s">
        <v>20</v>
      </c>
      <c r="E51" t="s">
        <v>21</v>
      </c>
      <c r="F51">
        <v>1652</v>
      </c>
      <c r="G51">
        <v>89</v>
      </c>
      <c r="H51">
        <v>357</v>
      </c>
      <c r="I51">
        <v>29736</v>
      </c>
      <c r="J51">
        <v>28771</v>
      </c>
      <c r="K51">
        <v>215</v>
      </c>
      <c r="L51" t="s">
        <v>37</v>
      </c>
      <c r="M51" t="s">
        <v>23</v>
      </c>
      <c r="N51">
        <v>7.06</v>
      </c>
    </row>
    <row r="52" spans="1:14">
      <c r="A52" t="s">
        <v>71</v>
      </c>
      <c r="B52" t="s">
        <v>34</v>
      </c>
      <c r="C52" s="1">
        <v>45742</v>
      </c>
      <c r="D52" t="s">
        <v>20</v>
      </c>
      <c r="E52" t="s">
        <v>21</v>
      </c>
      <c r="F52">
        <v>1652</v>
      </c>
      <c r="G52">
        <v>89</v>
      </c>
      <c r="H52">
        <v>357</v>
      </c>
      <c r="I52">
        <v>29736</v>
      </c>
      <c r="J52">
        <v>28771</v>
      </c>
      <c r="K52">
        <v>215</v>
      </c>
      <c r="L52" t="s">
        <v>52</v>
      </c>
      <c r="M52" t="s">
        <v>23</v>
      </c>
      <c r="N52">
        <v>7.06</v>
      </c>
    </row>
    <row r="53" spans="1:14">
      <c r="A53" t="s">
        <v>72</v>
      </c>
      <c r="B53" t="s">
        <v>27</v>
      </c>
      <c r="C53" s="1">
        <v>45626</v>
      </c>
      <c r="D53" t="s">
        <v>50</v>
      </c>
      <c r="E53" t="s">
        <v>51</v>
      </c>
      <c r="F53">
        <v>3775</v>
      </c>
      <c r="G53">
        <v>16</v>
      </c>
      <c r="H53">
        <v>239</v>
      </c>
      <c r="I53">
        <v>33975</v>
      </c>
      <c r="J53">
        <v>33310</v>
      </c>
      <c r="K53">
        <v>271</v>
      </c>
      <c r="L53" t="s">
        <v>31</v>
      </c>
      <c r="M53" t="s">
        <v>32</v>
      </c>
      <c r="N53">
        <v>11.86</v>
      </c>
    </row>
    <row r="54" spans="1:14">
      <c r="A54" t="s">
        <v>72</v>
      </c>
      <c r="B54" t="s">
        <v>27</v>
      </c>
      <c r="C54" s="1">
        <v>45626</v>
      </c>
      <c r="D54" t="s">
        <v>50</v>
      </c>
      <c r="E54" t="s">
        <v>51</v>
      </c>
      <c r="F54">
        <v>3775</v>
      </c>
      <c r="G54">
        <v>16</v>
      </c>
      <c r="H54">
        <v>239</v>
      </c>
      <c r="I54">
        <v>33975</v>
      </c>
      <c r="J54">
        <v>33310</v>
      </c>
      <c r="K54">
        <v>271</v>
      </c>
      <c r="L54" t="s">
        <v>17</v>
      </c>
      <c r="M54" t="s">
        <v>32</v>
      </c>
      <c r="N54">
        <v>11.86</v>
      </c>
    </row>
    <row r="55" spans="1:14">
      <c r="A55" t="s">
        <v>73</v>
      </c>
      <c r="B55" t="s">
        <v>27</v>
      </c>
      <c r="C55" s="1">
        <v>45766</v>
      </c>
      <c r="D55" t="s">
        <v>28</v>
      </c>
      <c r="E55" t="s">
        <v>29</v>
      </c>
      <c r="F55">
        <v>4518</v>
      </c>
      <c r="G55">
        <v>285</v>
      </c>
      <c r="H55">
        <v>383</v>
      </c>
      <c r="I55">
        <v>67770</v>
      </c>
      <c r="J55">
        <v>67621</v>
      </c>
      <c r="K55">
        <v>31</v>
      </c>
      <c r="L55" t="s">
        <v>52</v>
      </c>
      <c r="M55" t="s">
        <v>23</v>
      </c>
      <c r="N55">
        <v>7.65</v>
      </c>
    </row>
    <row r="56" spans="1:14">
      <c r="A56" t="s">
        <v>74</v>
      </c>
      <c r="B56" t="s">
        <v>34</v>
      </c>
      <c r="C56" s="1">
        <v>45663</v>
      </c>
      <c r="D56" t="s">
        <v>35</v>
      </c>
      <c r="E56" t="s">
        <v>36</v>
      </c>
      <c r="F56">
        <v>3024</v>
      </c>
      <c r="G56">
        <v>925</v>
      </c>
      <c r="H56">
        <v>350</v>
      </c>
      <c r="I56">
        <v>24192</v>
      </c>
      <c r="J56">
        <v>23518</v>
      </c>
      <c r="K56">
        <v>36</v>
      </c>
      <c r="L56" t="s">
        <v>17</v>
      </c>
      <c r="M56" t="s">
        <v>32</v>
      </c>
      <c r="N56">
        <v>17.77</v>
      </c>
    </row>
    <row r="57" spans="1:14">
      <c r="A57" t="s">
        <v>75</v>
      </c>
      <c r="B57" t="s">
        <v>25</v>
      </c>
      <c r="C57" s="1">
        <v>45705</v>
      </c>
      <c r="D57" t="s">
        <v>15</v>
      </c>
      <c r="E57" t="s">
        <v>16</v>
      </c>
      <c r="F57">
        <v>3138</v>
      </c>
      <c r="G57">
        <v>123</v>
      </c>
      <c r="H57">
        <v>291</v>
      </c>
      <c r="I57">
        <v>28242</v>
      </c>
      <c r="J57">
        <v>27550</v>
      </c>
      <c r="K57">
        <v>87</v>
      </c>
      <c r="L57" t="s">
        <v>52</v>
      </c>
      <c r="M57" t="s">
        <v>44</v>
      </c>
      <c r="N57">
        <v>12.58</v>
      </c>
    </row>
    <row r="58" spans="1:14">
      <c r="A58" t="s">
        <v>76</v>
      </c>
      <c r="B58" t="s">
        <v>34</v>
      </c>
      <c r="C58" s="1">
        <v>45621</v>
      </c>
      <c r="D58" t="s">
        <v>40</v>
      </c>
      <c r="E58" t="s">
        <v>41</v>
      </c>
      <c r="F58">
        <v>3564</v>
      </c>
      <c r="G58">
        <v>629</v>
      </c>
      <c r="H58">
        <v>177</v>
      </c>
      <c r="I58">
        <v>60588</v>
      </c>
      <c r="J58">
        <v>59627</v>
      </c>
      <c r="K58">
        <v>92</v>
      </c>
      <c r="L58" t="s">
        <v>52</v>
      </c>
      <c r="M58" t="s">
        <v>32</v>
      </c>
      <c r="N58">
        <v>7.21</v>
      </c>
    </row>
    <row r="59" spans="1:14">
      <c r="A59" t="s">
        <v>76</v>
      </c>
      <c r="B59" t="s">
        <v>34</v>
      </c>
      <c r="C59" s="1">
        <v>45621</v>
      </c>
      <c r="D59" t="s">
        <v>40</v>
      </c>
      <c r="E59" t="s">
        <v>41</v>
      </c>
      <c r="F59">
        <v>3564</v>
      </c>
      <c r="G59">
        <v>629</v>
      </c>
      <c r="H59">
        <v>177</v>
      </c>
      <c r="I59">
        <v>60588</v>
      </c>
      <c r="J59">
        <v>59627</v>
      </c>
      <c r="K59">
        <v>92</v>
      </c>
      <c r="L59" t="s">
        <v>17</v>
      </c>
      <c r="M59" t="s">
        <v>32</v>
      </c>
      <c r="N59">
        <v>7.21</v>
      </c>
    </row>
    <row r="60" spans="1:14">
      <c r="A60" t="s">
        <v>77</v>
      </c>
      <c r="B60" t="s">
        <v>14</v>
      </c>
      <c r="C60" s="1">
        <v>45723</v>
      </c>
      <c r="D60" t="s">
        <v>40</v>
      </c>
      <c r="E60" t="s">
        <v>41</v>
      </c>
      <c r="F60">
        <v>4750</v>
      </c>
      <c r="G60">
        <v>151</v>
      </c>
      <c r="H60">
        <v>415</v>
      </c>
      <c r="I60">
        <v>38000</v>
      </c>
      <c r="J60">
        <v>37792</v>
      </c>
      <c r="K60">
        <v>299</v>
      </c>
      <c r="L60" t="s">
        <v>31</v>
      </c>
      <c r="M60" t="s">
        <v>23</v>
      </c>
      <c r="N60">
        <v>13.99</v>
      </c>
    </row>
    <row r="61" spans="1:14">
      <c r="A61" t="s">
        <v>77</v>
      </c>
      <c r="B61" t="s">
        <v>14</v>
      </c>
      <c r="C61" s="1">
        <v>45723</v>
      </c>
      <c r="D61" t="s">
        <v>40</v>
      </c>
      <c r="E61" t="s">
        <v>41</v>
      </c>
      <c r="F61">
        <v>4750</v>
      </c>
      <c r="G61">
        <v>151</v>
      </c>
      <c r="H61">
        <v>415</v>
      </c>
      <c r="I61">
        <v>38000</v>
      </c>
      <c r="J61">
        <v>37792</v>
      </c>
      <c r="K61">
        <v>299</v>
      </c>
      <c r="L61" t="s">
        <v>17</v>
      </c>
      <c r="M61" t="s">
        <v>23</v>
      </c>
      <c r="N61">
        <v>13.99</v>
      </c>
    </row>
    <row r="62" spans="1:14">
      <c r="A62" t="s">
        <v>78</v>
      </c>
      <c r="B62" t="s">
        <v>27</v>
      </c>
      <c r="C62" s="1">
        <v>45724</v>
      </c>
      <c r="D62" t="s">
        <v>15</v>
      </c>
      <c r="E62" t="s">
        <v>16</v>
      </c>
      <c r="F62">
        <v>456</v>
      </c>
      <c r="G62">
        <v>629</v>
      </c>
      <c r="H62">
        <v>428</v>
      </c>
      <c r="I62">
        <v>8208</v>
      </c>
      <c r="J62">
        <v>7377</v>
      </c>
      <c r="K62">
        <v>205</v>
      </c>
      <c r="L62" t="s">
        <v>17</v>
      </c>
      <c r="M62" t="s">
        <v>32</v>
      </c>
      <c r="N62">
        <v>18.43</v>
      </c>
    </row>
    <row r="63" spans="1:14">
      <c r="A63" t="s">
        <v>78</v>
      </c>
      <c r="B63" t="s">
        <v>27</v>
      </c>
      <c r="C63" s="1">
        <v>45724</v>
      </c>
      <c r="D63" t="s">
        <v>15</v>
      </c>
      <c r="E63" t="s">
        <v>16</v>
      </c>
      <c r="F63">
        <v>456</v>
      </c>
      <c r="G63">
        <v>629</v>
      </c>
      <c r="H63">
        <v>428</v>
      </c>
      <c r="I63">
        <v>8208</v>
      </c>
      <c r="J63">
        <v>7377</v>
      </c>
      <c r="K63">
        <v>205</v>
      </c>
      <c r="L63" t="s">
        <v>52</v>
      </c>
      <c r="M63" t="s">
        <v>32</v>
      </c>
      <c r="N63">
        <v>18.43</v>
      </c>
    </row>
    <row r="64" spans="1:14">
      <c r="A64" t="s">
        <v>79</v>
      </c>
      <c r="B64" t="s">
        <v>25</v>
      </c>
      <c r="C64" s="1">
        <v>45721</v>
      </c>
      <c r="D64" t="s">
        <v>15</v>
      </c>
      <c r="E64" t="s">
        <v>16</v>
      </c>
      <c r="F64">
        <v>1543</v>
      </c>
      <c r="G64">
        <v>820</v>
      </c>
      <c r="H64">
        <v>333</v>
      </c>
      <c r="I64">
        <v>12344</v>
      </c>
      <c r="J64">
        <v>11496</v>
      </c>
      <c r="K64">
        <v>241</v>
      </c>
      <c r="L64" t="s">
        <v>31</v>
      </c>
      <c r="M64" t="s">
        <v>32</v>
      </c>
      <c r="N64">
        <v>21.84</v>
      </c>
    </row>
    <row r="65" spans="1:14">
      <c r="A65" t="s">
        <v>80</v>
      </c>
      <c r="B65" t="s">
        <v>27</v>
      </c>
      <c r="C65" s="1">
        <v>45640</v>
      </c>
      <c r="D65" t="s">
        <v>35</v>
      </c>
      <c r="E65" t="s">
        <v>36</v>
      </c>
      <c r="F65">
        <v>2174</v>
      </c>
      <c r="G65">
        <v>658</v>
      </c>
      <c r="H65">
        <v>15</v>
      </c>
      <c r="I65">
        <v>13044</v>
      </c>
      <c r="J65">
        <v>12206</v>
      </c>
      <c r="K65">
        <v>137</v>
      </c>
      <c r="L65" t="s">
        <v>17</v>
      </c>
      <c r="M65" t="s">
        <v>44</v>
      </c>
      <c r="N65">
        <v>21.83</v>
      </c>
    </row>
    <row r="66" spans="1:14">
      <c r="A66" t="s">
        <v>80</v>
      </c>
      <c r="B66" t="s">
        <v>27</v>
      </c>
      <c r="C66" s="1">
        <v>45640</v>
      </c>
      <c r="D66" t="s">
        <v>35</v>
      </c>
      <c r="E66" t="s">
        <v>36</v>
      </c>
      <c r="F66">
        <v>2174</v>
      </c>
      <c r="G66">
        <v>658</v>
      </c>
      <c r="H66">
        <v>15</v>
      </c>
      <c r="I66">
        <v>13044</v>
      </c>
      <c r="J66">
        <v>12206</v>
      </c>
      <c r="K66">
        <v>137</v>
      </c>
      <c r="L66" t="s">
        <v>22</v>
      </c>
      <c r="M66" t="s">
        <v>44</v>
      </c>
      <c r="N66">
        <v>21.83</v>
      </c>
    </row>
    <row r="67" spans="1:14">
      <c r="A67" t="s">
        <v>81</v>
      </c>
      <c r="B67" t="s">
        <v>14</v>
      </c>
      <c r="C67" s="1">
        <v>45718</v>
      </c>
      <c r="D67" t="s">
        <v>40</v>
      </c>
      <c r="E67" t="s">
        <v>41</v>
      </c>
      <c r="F67">
        <v>2358</v>
      </c>
      <c r="G67">
        <v>784</v>
      </c>
      <c r="H67">
        <v>344</v>
      </c>
      <c r="I67">
        <v>35370</v>
      </c>
      <c r="J67">
        <v>34475</v>
      </c>
      <c r="K67">
        <v>216</v>
      </c>
      <c r="L67" t="s">
        <v>17</v>
      </c>
      <c r="M67" t="s">
        <v>18</v>
      </c>
      <c r="N67">
        <v>9.86</v>
      </c>
    </row>
    <row r="68" spans="1:14">
      <c r="A68" t="s">
        <v>81</v>
      </c>
      <c r="B68" t="s">
        <v>14</v>
      </c>
      <c r="C68" s="1">
        <v>45718</v>
      </c>
      <c r="D68" t="s">
        <v>40</v>
      </c>
      <c r="E68" t="s">
        <v>41</v>
      </c>
      <c r="F68">
        <v>2358</v>
      </c>
      <c r="G68">
        <v>784</v>
      </c>
      <c r="H68">
        <v>344</v>
      </c>
      <c r="I68">
        <v>35370</v>
      </c>
      <c r="J68">
        <v>34475</v>
      </c>
      <c r="K68">
        <v>216</v>
      </c>
      <c r="L68" t="s">
        <v>31</v>
      </c>
      <c r="M68" t="s">
        <v>18</v>
      </c>
      <c r="N68">
        <v>9.86</v>
      </c>
    </row>
    <row r="69" spans="1:14">
      <c r="A69" t="s">
        <v>82</v>
      </c>
      <c r="B69" t="s">
        <v>34</v>
      </c>
      <c r="C69" s="1">
        <v>45597</v>
      </c>
      <c r="D69" t="s">
        <v>50</v>
      </c>
      <c r="E69" t="s">
        <v>51</v>
      </c>
      <c r="F69">
        <v>3371</v>
      </c>
      <c r="G69">
        <v>106</v>
      </c>
      <c r="H69">
        <v>327</v>
      </c>
      <c r="I69">
        <v>50565</v>
      </c>
      <c r="J69">
        <v>49816</v>
      </c>
      <c r="K69">
        <v>176</v>
      </c>
      <c r="L69" t="s">
        <v>52</v>
      </c>
      <c r="M69" t="s">
        <v>44</v>
      </c>
      <c r="N69">
        <v>7.52</v>
      </c>
    </row>
    <row r="70" spans="1:14">
      <c r="A70" t="s">
        <v>83</v>
      </c>
      <c r="B70" t="s">
        <v>14</v>
      </c>
      <c r="C70" s="1">
        <v>45779</v>
      </c>
      <c r="D70" t="s">
        <v>50</v>
      </c>
      <c r="E70" t="s">
        <v>51</v>
      </c>
      <c r="F70">
        <v>1108</v>
      </c>
      <c r="G70">
        <v>177</v>
      </c>
      <c r="H70">
        <v>212</v>
      </c>
      <c r="I70">
        <v>8864</v>
      </c>
      <c r="J70">
        <v>8710</v>
      </c>
      <c r="K70">
        <v>97</v>
      </c>
      <c r="L70" t="s">
        <v>22</v>
      </c>
      <c r="M70" t="s">
        <v>44</v>
      </c>
      <c r="N70">
        <v>16.89</v>
      </c>
    </row>
    <row r="71" spans="1:14">
      <c r="A71" t="s">
        <v>84</v>
      </c>
      <c r="B71" t="s">
        <v>14</v>
      </c>
      <c r="C71" s="1">
        <v>45712</v>
      </c>
      <c r="D71" t="s">
        <v>35</v>
      </c>
      <c r="E71" t="s">
        <v>36</v>
      </c>
      <c r="F71">
        <v>2704</v>
      </c>
      <c r="G71">
        <v>752</v>
      </c>
      <c r="H71">
        <v>153</v>
      </c>
      <c r="I71">
        <v>21632</v>
      </c>
      <c r="J71">
        <v>20792</v>
      </c>
      <c r="K71">
        <v>127</v>
      </c>
      <c r="L71" t="s">
        <v>52</v>
      </c>
      <c r="M71" t="s">
        <v>18</v>
      </c>
      <c r="N71">
        <v>16.68</v>
      </c>
    </row>
    <row r="72" spans="1:14">
      <c r="A72" t="s">
        <v>84</v>
      </c>
      <c r="B72" t="s">
        <v>14</v>
      </c>
      <c r="C72" s="1">
        <v>45712</v>
      </c>
      <c r="D72" t="s">
        <v>35</v>
      </c>
      <c r="E72" t="s">
        <v>36</v>
      </c>
      <c r="F72">
        <v>2704</v>
      </c>
      <c r="G72">
        <v>752</v>
      </c>
      <c r="H72">
        <v>153</v>
      </c>
      <c r="I72">
        <v>21632</v>
      </c>
      <c r="J72">
        <v>20792</v>
      </c>
      <c r="K72">
        <v>127</v>
      </c>
      <c r="L72" t="s">
        <v>22</v>
      </c>
      <c r="M72" t="s">
        <v>18</v>
      </c>
      <c r="N72">
        <v>16.68</v>
      </c>
    </row>
    <row r="73" spans="1:14">
      <c r="A73" t="s">
        <v>85</v>
      </c>
      <c r="B73" t="s">
        <v>14</v>
      </c>
      <c r="C73" s="1">
        <v>45727</v>
      </c>
      <c r="D73" t="s">
        <v>28</v>
      </c>
      <c r="E73" t="s">
        <v>29</v>
      </c>
      <c r="F73">
        <v>1950</v>
      </c>
      <c r="G73">
        <v>295</v>
      </c>
      <c r="H73">
        <v>478</v>
      </c>
      <c r="I73">
        <v>37050</v>
      </c>
      <c r="J73">
        <v>36272</v>
      </c>
      <c r="K73">
        <v>119</v>
      </c>
      <c r="L73" t="s">
        <v>22</v>
      </c>
      <c r="M73" t="s">
        <v>44</v>
      </c>
      <c r="N73">
        <v>7.35</v>
      </c>
    </row>
    <row r="74" spans="1:14">
      <c r="A74" t="s">
        <v>85</v>
      </c>
      <c r="B74" t="s">
        <v>14</v>
      </c>
      <c r="C74" s="1">
        <v>45727</v>
      </c>
      <c r="D74" t="s">
        <v>28</v>
      </c>
      <c r="E74" t="s">
        <v>29</v>
      </c>
      <c r="F74">
        <v>1950</v>
      </c>
      <c r="G74">
        <v>295</v>
      </c>
      <c r="H74">
        <v>478</v>
      </c>
      <c r="I74">
        <v>37050</v>
      </c>
      <c r="J74">
        <v>36272</v>
      </c>
      <c r="K74">
        <v>119</v>
      </c>
      <c r="L74" t="s">
        <v>31</v>
      </c>
      <c r="M74" t="s">
        <v>44</v>
      </c>
      <c r="N74">
        <v>7.35</v>
      </c>
    </row>
    <row r="75" spans="1:14">
      <c r="A75" t="s">
        <v>86</v>
      </c>
      <c r="B75" t="s">
        <v>14</v>
      </c>
      <c r="C75" s="1">
        <v>45453</v>
      </c>
      <c r="D75" t="s">
        <v>28</v>
      </c>
      <c r="E75" t="s">
        <v>29</v>
      </c>
      <c r="F75">
        <v>2164</v>
      </c>
      <c r="G75">
        <v>549</v>
      </c>
      <c r="H75">
        <v>274</v>
      </c>
      <c r="I75">
        <v>28132</v>
      </c>
      <c r="J75">
        <v>27361</v>
      </c>
      <c r="K75">
        <v>177</v>
      </c>
      <c r="L75" t="s">
        <v>31</v>
      </c>
      <c r="M75" t="s">
        <v>18</v>
      </c>
      <c r="N75">
        <v>10.62</v>
      </c>
    </row>
    <row r="76" spans="1:14">
      <c r="A76" t="s">
        <v>87</v>
      </c>
      <c r="B76" t="s">
        <v>25</v>
      </c>
      <c r="C76" s="1">
        <v>45476</v>
      </c>
      <c r="D76" t="s">
        <v>28</v>
      </c>
      <c r="E76" t="s">
        <v>29</v>
      </c>
      <c r="F76">
        <v>2754</v>
      </c>
      <c r="G76">
        <v>130</v>
      </c>
      <c r="H76">
        <v>90</v>
      </c>
      <c r="I76">
        <v>22032</v>
      </c>
      <c r="J76">
        <v>21288</v>
      </c>
      <c r="K76">
        <v>112</v>
      </c>
      <c r="L76" t="s">
        <v>22</v>
      </c>
      <c r="M76" t="s">
        <v>18</v>
      </c>
      <c r="N76">
        <v>13.5</v>
      </c>
    </row>
    <row r="77" spans="1:14">
      <c r="A77" t="s">
        <v>88</v>
      </c>
      <c r="B77" t="s">
        <v>34</v>
      </c>
      <c r="C77" s="1">
        <v>45456</v>
      </c>
      <c r="D77" t="s">
        <v>35</v>
      </c>
      <c r="E77" t="s">
        <v>36</v>
      </c>
      <c r="F77">
        <v>2200</v>
      </c>
      <c r="G77">
        <v>504</v>
      </c>
      <c r="H77">
        <v>239</v>
      </c>
      <c r="I77">
        <v>37400</v>
      </c>
      <c r="J77">
        <v>36938</v>
      </c>
      <c r="K77">
        <v>225</v>
      </c>
      <c r="L77" t="s">
        <v>17</v>
      </c>
      <c r="M77" t="s">
        <v>32</v>
      </c>
      <c r="N77">
        <v>7.87</v>
      </c>
    </row>
    <row r="78" spans="1:14">
      <c r="A78" t="s">
        <v>89</v>
      </c>
      <c r="B78" t="s">
        <v>34</v>
      </c>
      <c r="C78" s="1">
        <v>45660</v>
      </c>
      <c r="D78" t="s">
        <v>40</v>
      </c>
      <c r="E78" t="s">
        <v>41</v>
      </c>
      <c r="F78">
        <v>947</v>
      </c>
      <c r="G78">
        <v>338</v>
      </c>
      <c r="H78">
        <v>350</v>
      </c>
      <c r="I78">
        <v>10417</v>
      </c>
      <c r="J78">
        <v>9730</v>
      </c>
      <c r="K78">
        <v>34</v>
      </c>
      <c r="L78" t="s">
        <v>22</v>
      </c>
      <c r="M78" t="s">
        <v>32</v>
      </c>
      <c r="N78">
        <v>15.7</v>
      </c>
    </row>
    <row r="79" spans="1:14">
      <c r="A79" t="s">
        <v>89</v>
      </c>
      <c r="B79" t="s">
        <v>34</v>
      </c>
      <c r="C79" s="1">
        <v>45660</v>
      </c>
      <c r="D79" t="s">
        <v>40</v>
      </c>
      <c r="E79" t="s">
        <v>41</v>
      </c>
      <c r="F79">
        <v>947</v>
      </c>
      <c r="G79">
        <v>338</v>
      </c>
      <c r="H79">
        <v>350</v>
      </c>
      <c r="I79">
        <v>10417</v>
      </c>
      <c r="J79">
        <v>9730</v>
      </c>
      <c r="K79">
        <v>34</v>
      </c>
      <c r="L79" t="s">
        <v>17</v>
      </c>
      <c r="M79" t="s">
        <v>32</v>
      </c>
      <c r="N79">
        <v>15.7</v>
      </c>
    </row>
    <row r="80" spans="1:14">
      <c r="A80" t="s">
        <v>90</v>
      </c>
      <c r="B80" t="s">
        <v>25</v>
      </c>
      <c r="C80" s="1">
        <v>45712</v>
      </c>
      <c r="D80" t="s">
        <v>35</v>
      </c>
      <c r="E80" t="s">
        <v>36</v>
      </c>
      <c r="F80">
        <v>804</v>
      </c>
      <c r="G80">
        <v>639</v>
      </c>
      <c r="H80">
        <v>43</v>
      </c>
      <c r="I80">
        <v>4020</v>
      </c>
      <c r="J80">
        <v>3144</v>
      </c>
      <c r="K80">
        <v>11</v>
      </c>
      <c r="L80" t="s">
        <v>31</v>
      </c>
      <c r="M80" t="s">
        <v>44</v>
      </c>
      <c r="N80">
        <v>36.97</v>
      </c>
    </row>
    <row r="81" spans="1:14">
      <c r="A81" t="s">
        <v>90</v>
      </c>
      <c r="B81" t="s">
        <v>25</v>
      </c>
      <c r="C81" s="1">
        <v>45712</v>
      </c>
      <c r="D81" t="s">
        <v>35</v>
      </c>
      <c r="E81" t="s">
        <v>36</v>
      </c>
      <c r="F81">
        <v>804</v>
      </c>
      <c r="G81">
        <v>639</v>
      </c>
      <c r="H81">
        <v>43</v>
      </c>
      <c r="I81">
        <v>4020</v>
      </c>
      <c r="J81">
        <v>3144</v>
      </c>
      <c r="K81">
        <v>11</v>
      </c>
      <c r="L81" t="s">
        <v>37</v>
      </c>
      <c r="M81" t="s">
        <v>44</v>
      </c>
      <c r="N81">
        <v>36.97</v>
      </c>
    </row>
    <row r="82" spans="1:14">
      <c r="A82" t="s">
        <v>91</v>
      </c>
      <c r="B82" t="s">
        <v>25</v>
      </c>
      <c r="C82" s="1">
        <v>45729</v>
      </c>
      <c r="D82" t="s">
        <v>35</v>
      </c>
      <c r="E82" t="s">
        <v>36</v>
      </c>
      <c r="F82">
        <v>1686</v>
      </c>
      <c r="G82">
        <v>904</v>
      </c>
      <c r="H82">
        <v>472</v>
      </c>
      <c r="I82">
        <v>18546</v>
      </c>
      <c r="J82">
        <v>18171</v>
      </c>
      <c r="K82">
        <v>52</v>
      </c>
      <c r="L82" t="s">
        <v>22</v>
      </c>
      <c r="M82" t="s">
        <v>23</v>
      </c>
      <c r="N82">
        <v>16.510000000000002</v>
      </c>
    </row>
    <row r="83" spans="1:14">
      <c r="A83" t="s">
        <v>91</v>
      </c>
      <c r="B83" t="s">
        <v>25</v>
      </c>
      <c r="C83" s="1">
        <v>45729</v>
      </c>
      <c r="D83" t="s">
        <v>35</v>
      </c>
      <c r="E83" t="s">
        <v>36</v>
      </c>
      <c r="F83">
        <v>1686</v>
      </c>
      <c r="G83">
        <v>904</v>
      </c>
      <c r="H83">
        <v>472</v>
      </c>
      <c r="I83">
        <v>18546</v>
      </c>
      <c r="J83">
        <v>18171</v>
      </c>
      <c r="K83">
        <v>52</v>
      </c>
      <c r="L83" t="s">
        <v>52</v>
      </c>
      <c r="M83" t="s">
        <v>23</v>
      </c>
      <c r="N83">
        <v>16.510000000000002</v>
      </c>
    </row>
    <row r="84" spans="1:14">
      <c r="A84" t="s">
        <v>92</v>
      </c>
      <c r="B84" t="s">
        <v>34</v>
      </c>
      <c r="C84" s="1">
        <v>45460</v>
      </c>
      <c r="D84" t="s">
        <v>40</v>
      </c>
      <c r="E84" t="s">
        <v>41</v>
      </c>
      <c r="F84">
        <v>1226</v>
      </c>
      <c r="G84">
        <v>119</v>
      </c>
      <c r="H84">
        <v>7</v>
      </c>
      <c r="I84">
        <v>14712</v>
      </c>
      <c r="J84">
        <v>14049</v>
      </c>
      <c r="K84">
        <v>123</v>
      </c>
      <c r="L84" t="s">
        <v>17</v>
      </c>
      <c r="M84" t="s">
        <v>44</v>
      </c>
      <c r="N84">
        <v>9.19</v>
      </c>
    </row>
    <row r="85" spans="1:14">
      <c r="A85" t="s">
        <v>92</v>
      </c>
      <c r="B85" t="s">
        <v>34</v>
      </c>
      <c r="C85" s="1">
        <v>45460</v>
      </c>
      <c r="D85" t="s">
        <v>40</v>
      </c>
      <c r="E85" t="s">
        <v>41</v>
      </c>
      <c r="F85">
        <v>1226</v>
      </c>
      <c r="G85">
        <v>119</v>
      </c>
      <c r="H85">
        <v>7</v>
      </c>
      <c r="I85">
        <v>14712</v>
      </c>
      <c r="J85">
        <v>14049</v>
      </c>
      <c r="K85">
        <v>123</v>
      </c>
      <c r="L85" t="s">
        <v>37</v>
      </c>
      <c r="M85" t="s">
        <v>44</v>
      </c>
      <c r="N85">
        <v>9.19</v>
      </c>
    </row>
    <row r="86" spans="1:14">
      <c r="A86" t="s">
        <v>93</v>
      </c>
      <c r="B86" t="s">
        <v>34</v>
      </c>
      <c r="C86" s="1">
        <v>45644</v>
      </c>
      <c r="D86" t="s">
        <v>35</v>
      </c>
      <c r="E86" t="s">
        <v>36</v>
      </c>
      <c r="F86">
        <v>2946</v>
      </c>
      <c r="G86">
        <v>498</v>
      </c>
      <c r="H86">
        <v>367</v>
      </c>
      <c r="I86">
        <v>29460</v>
      </c>
      <c r="J86">
        <v>28527</v>
      </c>
      <c r="K86">
        <v>60</v>
      </c>
      <c r="L86" t="s">
        <v>31</v>
      </c>
      <c r="M86" t="s">
        <v>23</v>
      </c>
      <c r="N86">
        <v>12.94</v>
      </c>
    </row>
    <row r="87" spans="1:14">
      <c r="A87" t="s">
        <v>93</v>
      </c>
      <c r="B87" t="s">
        <v>34</v>
      </c>
      <c r="C87" s="1">
        <v>45644</v>
      </c>
      <c r="D87" t="s">
        <v>35</v>
      </c>
      <c r="E87" t="s">
        <v>36</v>
      </c>
      <c r="F87">
        <v>2946</v>
      </c>
      <c r="G87">
        <v>498</v>
      </c>
      <c r="H87">
        <v>367</v>
      </c>
      <c r="I87">
        <v>29460</v>
      </c>
      <c r="J87">
        <v>28527</v>
      </c>
      <c r="K87">
        <v>60</v>
      </c>
      <c r="L87" t="s">
        <v>52</v>
      </c>
      <c r="M87" t="s">
        <v>23</v>
      </c>
      <c r="N87">
        <v>12.94</v>
      </c>
    </row>
    <row r="88" spans="1:14">
      <c r="A88" t="s">
        <v>94</v>
      </c>
      <c r="B88" t="s">
        <v>14</v>
      </c>
      <c r="C88" s="1">
        <v>45586</v>
      </c>
      <c r="D88" t="s">
        <v>50</v>
      </c>
      <c r="E88" t="s">
        <v>51</v>
      </c>
      <c r="F88">
        <v>2825</v>
      </c>
      <c r="G88">
        <v>535</v>
      </c>
      <c r="H88">
        <v>295</v>
      </c>
      <c r="I88">
        <v>45200</v>
      </c>
      <c r="J88">
        <v>44739</v>
      </c>
      <c r="K88">
        <v>169</v>
      </c>
      <c r="L88" t="s">
        <v>31</v>
      </c>
      <c r="M88" t="s">
        <v>23</v>
      </c>
      <c r="N88">
        <v>8.09</v>
      </c>
    </row>
    <row r="89" spans="1:14">
      <c r="A89" t="s">
        <v>95</v>
      </c>
      <c r="B89" t="s">
        <v>27</v>
      </c>
      <c r="C89" s="1">
        <v>45762</v>
      </c>
      <c r="D89" t="s">
        <v>15</v>
      </c>
      <c r="E89" t="s">
        <v>16</v>
      </c>
      <c r="F89">
        <v>103</v>
      </c>
      <c r="G89">
        <v>770</v>
      </c>
      <c r="H89">
        <v>19</v>
      </c>
      <c r="I89">
        <v>1030</v>
      </c>
      <c r="J89">
        <v>410</v>
      </c>
      <c r="K89">
        <v>262</v>
      </c>
      <c r="L89" t="s">
        <v>17</v>
      </c>
      <c r="M89" t="s">
        <v>32</v>
      </c>
      <c r="N89">
        <v>86.6</v>
      </c>
    </row>
    <row r="90" spans="1:14">
      <c r="A90" t="s">
        <v>96</v>
      </c>
      <c r="B90" t="s">
        <v>27</v>
      </c>
      <c r="C90" s="1">
        <v>45465</v>
      </c>
      <c r="D90" t="s">
        <v>20</v>
      </c>
      <c r="E90" t="s">
        <v>21</v>
      </c>
      <c r="F90">
        <v>2180</v>
      </c>
      <c r="G90">
        <v>263</v>
      </c>
      <c r="H90">
        <v>387</v>
      </c>
      <c r="I90">
        <v>30520</v>
      </c>
      <c r="J90">
        <v>30059</v>
      </c>
      <c r="K90">
        <v>174</v>
      </c>
      <c r="L90" t="s">
        <v>52</v>
      </c>
      <c r="M90" t="s">
        <v>18</v>
      </c>
      <c r="N90">
        <v>9.27</v>
      </c>
    </row>
    <row r="91" spans="1:14">
      <c r="A91" t="s">
        <v>97</v>
      </c>
      <c r="B91" t="s">
        <v>27</v>
      </c>
      <c r="C91" s="1">
        <v>45685</v>
      </c>
      <c r="D91" t="s">
        <v>50</v>
      </c>
      <c r="E91" t="s">
        <v>51</v>
      </c>
      <c r="F91">
        <v>904</v>
      </c>
      <c r="G91">
        <v>973</v>
      </c>
      <c r="H91">
        <v>63</v>
      </c>
      <c r="I91">
        <v>11752</v>
      </c>
      <c r="J91">
        <v>11580</v>
      </c>
      <c r="K91">
        <v>84</v>
      </c>
      <c r="L91" t="s">
        <v>31</v>
      </c>
      <c r="M91" t="s">
        <v>18</v>
      </c>
      <c r="N91">
        <v>16.510000000000002</v>
      </c>
    </row>
    <row r="92" spans="1:14">
      <c r="A92" t="s">
        <v>98</v>
      </c>
      <c r="B92" t="s">
        <v>14</v>
      </c>
      <c r="C92" s="1">
        <v>45540</v>
      </c>
      <c r="D92" t="s">
        <v>50</v>
      </c>
      <c r="E92" t="s">
        <v>51</v>
      </c>
      <c r="F92">
        <v>4886</v>
      </c>
      <c r="G92">
        <v>983</v>
      </c>
      <c r="H92">
        <v>409</v>
      </c>
      <c r="I92">
        <v>43974</v>
      </c>
      <c r="J92">
        <v>43239</v>
      </c>
      <c r="K92">
        <v>65</v>
      </c>
      <c r="L92" t="s">
        <v>22</v>
      </c>
      <c r="M92" t="s">
        <v>18</v>
      </c>
      <c r="N92">
        <v>14.28</v>
      </c>
    </row>
    <row r="93" spans="1:14">
      <c r="A93" t="s">
        <v>99</v>
      </c>
      <c r="B93" t="s">
        <v>14</v>
      </c>
      <c r="C93" s="1">
        <v>45618</v>
      </c>
      <c r="D93" t="s">
        <v>35</v>
      </c>
      <c r="E93" t="s">
        <v>36</v>
      </c>
      <c r="F93">
        <v>53</v>
      </c>
      <c r="G93">
        <v>81</v>
      </c>
      <c r="H93">
        <v>379</v>
      </c>
      <c r="I93">
        <v>954</v>
      </c>
      <c r="J93">
        <v>7</v>
      </c>
      <c r="K93">
        <v>148</v>
      </c>
      <c r="L93" t="s">
        <v>52</v>
      </c>
      <c r="M93" t="s">
        <v>32</v>
      </c>
      <c r="N93">
        <v>53.77</v>
      </c>
    </row>
    <row r="94" spans="1:14">
      <c r="A94" t="s">
        <v>100</v>
      </c>
      <c r="B94" t="s">
        <v>14</v>
      </c>
      <c r="C94" s="1">
        <v>45504</v>
      </c>
      <c r="D94" t="s">
        <v>35</v>
      </c>
      <c r="E94" t="s">
        <v>36</v>
      </c>
      <c r="F94">
        <v>4507</v>
      </c>
      <c r="G94">
        <v>217</v>
      </c>
      <c r="H94">
        <v>13</v>
      </c>
      <c r="I94">
        <v>90140</v>
      </c>
      <c r="J94">
        <v>89591</v>
      </c>
      <c r="K94">
        <v>125</v>
      </c>
      <c r="L94" t="s">
        <v>17</v>
      </c>
      <c r="M94" t="s">
        <v>18</v>
      </c>
      <c r="N94">
        <v>5.26</v>
      </c>
    </row>
    <row r="95" spans="1:14">
      <c r="A95" t="s">
        <v>101</v>
      </c>
      <c r="B95" t="s">
        <v>34</v>
      </c>
      <c r="C95" s="1">
        <v>45521</v>
      </c>
      <c r="D95" t="s">
        <v>40</v>
      </c>
      <c r="E95" t="s">
        <v>41</v>
      </c>
      <c r="F95">
        <v>2878</v>
      </c>
      <c r="G95">
        <v>248</v>
      </c>
      <c r="H95">
        <v>416</v>
      </c>
      <c r="I95">
        <v>43170</v>
      </c>
      <c r="J95">
        <v>42667</v>
      </c>
      <c r="K95">
        <v>75</v>
      </c>
      <c r="L95" t="s">
        <v>52</v>
      </c>
      <c r="M95" t="s">
        <v>23</v>
      </c>
      <c r="N95">
        <v>8.1999999999999993</v>
      </c>
    </row>
    <row r="96" spans="1:14">
      <c r="A96" t="s">
        <v>101</v>
      </c>
      <c r="B96" t="s">
        <v>34</v>
      </c>
      <c r="C96" s="1">
        <v>45521</v>
      </c>
      <c r="D96" t="s">
        <v>40</v>
      </c>
      <c r="E96" t="s">
        <v>41</v>
      </c>
      <c r="F96">
        <v>2878</v>
      </c>
      <c r="G96">
        <v>248</v>
      </c>
      <c r="H96">
        <v>416</v>
      </c>
      <c r="I96">
        <v>43170</v>
      </c>
      <c r="J96">
        <v>42667</v>
      </c>
      <c r="K96">
        <v>75</v>
      </c>
      <c r="L96" t="s">
        <v>37</v>
      </c>
      <c r="M96" t="s">
        <v>23</v>
      </c>
      <c r="N96">
        <v>8.1999999999999993</v>
      </c>
    </row>
    <row r="97" spans="1:14">
      <c r="A97" t="s">
        <v>102</v>
      </c>
      <c r="B97" t="s">
        <v>27</v>
      </c>
      <c r="C97" s="1">
        <v>45744</v>
      </c>
      <c r="D97" t="s">
        <v>28</v>
      </c>
      <c r="E97" t="s">
        <v>29</v>
      </c>
      <c r="F97">
        <v>1881</v>
      </c>
      <c r="G97">
        <v>501</v>
      </c>
      <c r="H97">
        <v>99</v>
      </c>
      <c r="I97">
        <v>20691</v>
      </c>
      <c r="J97">
        <v>19987</v>
      </c>
      <c r="K97">
        <v>289</v>
      </c>
      <c r="L97" t="s">
        <v>52</v>
      </c>
      <c r="M97" t="s">
        <v>23</v>
      </c>
      <c r="N97">
        <v>11.99</v>
      </c>
    </row>
    <row r="98" spans="1:14">
      <c r="A98" t="s">
        <v>103</v>
      </c>
      <c r="B98" t="s">
        <v>14</v>
      </c>
      <c r="C98" s="1">
        <v>45499</v>
      </c>
      <c r="D98" t="s">
        <v>35</v>
      </c>
      <c r="E98" t="s">
        <v>36</v>
      </c>
      <c r="F98">
        <v>432</v>
      </c>
      <c r="G98">
        <v>171</v>
      </c>
      <c r="H98">
        <v>280</v>
      </c>
      <c r="I98">
        <v>3024</v>
      </c>
      <c r="J98">
        <v>2285</v>
      </c>
      <c r="K98">
        <v>184</v>
      </c>
      <c r="L98" t="s">
        <v>22</v>
      </c>
      <c r="M98" t="s">
        <v>32</v>
      </c>
      <c r="N98">
        <v>29.2</v>
      </c>
    </row>
    <row r="99" spans="1:14">
      <c r="A99" t="s">
        <v>104</v>
      </c>
      <c r="B99" t="s">
        <v>34</v>
      </c>
      <c r="C99" s="1">
        <v>45745</v>
      </c>
      <c r="D99" t="s">
        <v>35</v>
      </c>
      <c r="E99" t="s">
        <v>36</v>
      </c>
      <c r="F99">
        <v>4712</v>
      </c>
      <c r="G99">
        <v>568</v>
      </c>
      <c r="H99">
        <v>127</v>
      </c>
      <c r="I99">
        <v>84816</v>
      </c>
      <c r="J99">
        <v>84691</v>
      </c>
      <c r="K99">
        <v>100</v>
      </c>
      <c r="L99" t="s">
        <v>52</v>
      </c>
      <c r="M99" t="s">
        <v>18</v>
      </c>
      <c r="N99">
        <v>6.37</v>
      </c>
    </row>
    <row r="100" spans="1:14">
      <c r="A100" t="s">
        <v>105</v>
      </c>
      <c r="B100" t="s">
        <v>27</v>
      </c>
      <c r="C100" s="1">
        <v>45634</v>
      </c>
      <c r="D100" t="s">
        <v>28</v>
      </c>
      <c r="E100" t="s">
        <v>29</v>
      </c>
      <c r="F100">
        <v>2610</v>
      </c>
      <c r="G100">
        <v>126</v>
      </c>
      <c r="H100">
        <v>288</v>
      </c>
      <c r="I100">
        <v>15660</v>
      </c>
      <c r="J100">
        <v>15145</v>
      </c>
      <c r="K100">
        <v>73</v>
      </c>
      <c r="L100" t="s">
        <v>22</v>
      </c>
      <c r="M100" t="s">
        <v>18</v>
      </c>
      <c r="N100">
        <v>19.309999999999999</v>
      </c>
    </row>
    <row r="101" spans="1:14">
      <c r="A101" t="s">
        <v>106</v>
      </c>
      <c r="B101" t="s">
        <v>14</v>
      </c>
      <c r="C101" s="1">
        <v>45724</v>
      </c>
      <c r="D101" t="s">
        <v>20</v>
      </c>
      <c r="E101" t="s">
        <v>21</v>
      </c>
      <c r="F101">
        <v>1292</v>
      </c>
      <c r="G101">
        <v>626</v>
      </c>
      <c r="H101">
        <v>496</v>
      </c>
      <c r="I101">
        <v>25840</v>
      </c>
      <c r="J101">
        <v>24916</v>
      </c>
      <c r="K101">
        <v>149</v>
      </c>
      <c r="L101" t="s">
        <v>31</v>
      </c>
      <c r="M101" t="s">
        <v>44</v>
      </c>
      <c r="N101">
        <v>9.34</v>
      </c>
    </row>
    <row r="102" spans="1:14">
      <c r="A102" t="s">
        <v>106</v>
      </c>
      <c r="B102" t="s">
        <v>14</v>
      </c>
      <c r="C102" s="1">
        <v>45724</v>
      </c>
      <c r="D102" t="s">
        <v>20</v>
      </c>
      <c r="E102" t="s">
        <v>21</v>
      </c>
      <c r="F102">
        <v>1292</v>
      </c>
      <c r="G102">
        <v>626</v>
      </c>
      <c r="H102">
        <v>496</v>
      </c>
      <c r="I102">
        <v>25840</v>
      </c>
      <c r="J102">
        <v>24916</v>
      </c>
      <c r="K102">
        <v>149</v>
      </c>
      <c r="L102" t="s">
        <v>37</v>
      </c>
      <c r="M102" t="s">
        <v>44</v>
      </c>
      <c r="N102">
        <v>9.34</v>
      </c>
    </row>
    <row r="103" spans="1:14">
      <c r="A103" t="s">
        <v>107</v>
      </c>
      <c r="B103" t="s">
        <v>34</v>
      </c>
      <c r="C103" s="1">
        <v>45749</v>
      </c>
      <c r="D103" t="s">
        <v>50</v>
      </c>
      <c r="E103" t="s">
        <v>51</v>
      </c>
      <c r="F103">
        <v>199</v>
      </c>
      <c r="G103">
        <v>772</v>
      </c>
      <c r="H103">
        <v>400</v>
      </c>
      <c r="I103">
        <v>3582</v>
      </c>
      <c r="J103">
        <v>2988</v>
      </c>
      <c r="K103">
        <v>43</v>
      </c>
      <c r="L103" t="s">
        <v>37</v>
      </c>
      <c r="M103" t="s">
        <v>18</v>
      </c>
      <c r="N103">
        <v>38.270000000000003</v>
      </c>
    </row>
    <row r="104" spans="1:14">
      <c r="A104" t="s">
        <v>108</v>
      </c>
      <c r="B104" t="s">
        <v>25</v>
      </c>
      <c r="C104" s="1">
        <v>45537</v>
      </c>
      <c r="D104" t="s">
        <v>35</v>
      </c>
      <c r="E104" t="s">
        <v>36</v>
      </c>
      <c r="F104">
        <v>2551</v>
      </c>
      <c r="G104">
        <v>915</v>
      </c>
      <c r="H104">
        <v>205</v>
      </c>
      <c r="I104">
        <v>30612</v>
      </c>
      <c r="J104">
        <v>30360</v>
      </c>
      <c r="K104">
        <v>227</v>
      </c>
      <c r="L104" t="s">
        <v>17</v>
      </c>
      <c r="M104" t="s">
        <v>23</v>
      </c>
      <c r="N104">
        <v>11.99</v>
      </c>
    </row>
    <row r="105" spans="1:14">
      <c r="A105" t="s">
        <v>108</v>
      </c>
      <c r="B105" t="s">
        <v>25</v>
      </c>
      <c r="C105" s="1">
        <v>45537</v>
      </c>
      <c r="D105" t="s">
        <v>35</v>
      </c>
      <c r="E105" t="s">
        <v>36</v>
      </c>
      <c r="F105">
        <v>2551</v>
      </c>
      <c r="G105">
        <v>915</v>
      </c>
      <c r="H105">
        <v>205</v>
      </c>
      <c r="I105">
        <v>30612</v>
      </c>
      <c r="J105">
        <v>30360</v>
      </c>
      <c r="K105">
        <v>227</v>
      </c>
      <c r="L105" t="s">
        <v>52</v>
      </c>
      <c r="M105" t="s">
        <v>23</v>
      </c>
      <c r="N105">
        <v>11.99</v>
      </c>
    </row>
    <row r="106" spans="1:14">
      <c r="A106" t="s">
        <v>109</v>
      </c>
      <c r="B106" t="s">
        <v>25</v>
      </c>
      <c r="C106" s="1">
        <v>45719</v>
      </c>
      <c r="D106" t="s">
        <v>15</v>
      </c>
      <c r="E106" t="s">
        <v>16</v>
      </c>
      <c r="F106">
        <v>296</v>
      </c>
      <c r="G106">
        <v>60</v>
      </c>
      <c r="H106">
        <v>141</v>
      </c>
      <c r="I106">
        <v>5624</v>
      </c>
      <c r="J106">
        <v>5239</v>
      </c>
      <c r="K106">
        <v>88</v>
      </c>
      <c r="L106" t="s">
        <v>37</v>
      </c>
      <c r="M106" t="s">
        <v>44</v>
      </c>
      <c r="N106">
        <v>8.84</v>
      </c>
    </row>
    <row r="107" spans="1:14">
      <c r="A107" t="s">
        <v>110</v>
      </c>
      <c r="B107" t="s">
        <v>34</v>
      </c>
      <c r="C107" s="1">
        <v>45583</v>
      </c>
      <c r="D107" t="s">
        <v>28</v>
      </c>
      <c r="E107" t="s">
        <v>29</v>
      </c>
      <c r="F107">
        <v>4126</v>
      </c>
      <c r="G107">
        <v>426</v>
      </c>
      <c r="H107">
        <v>486</v>
      </c>
      <c r="I107">
        <v>78394</v>
      </c>
      <c r="J107">
        <v>77798</v>
      </c>
      <c r="K107">
        <v>88</v>
      </c>
      <c r="L107" t="s">
        <v>22</v>
      </c>
      <c r="M107" t="s">
        <v>18</v>
      </c>
      <c r="N107">
        <v>6.43</v>
      </c>
    </row>
    <row r="108" spans="1:14">
      <c r="A108" t="s">
        <v>111</v>
      </c>
      <c r="B108" t="s">
        <v>25</v>
      </c>
      <c r="C108" s="1">
        <v>45593</v>
      </c>
      <c r="D108" t="s">
        <v>15</v>
      </c>
      <c r="E108" t="s">
        <v>16</v>
      </c>
      <c r="F108">
        <v>1855</v>
      </c>
      <c r="G108">
        <v>200</v>
      </c>
      <c r="H108">
        <v>174</v>
      </c>
      <c r="I108">
        <v>16695</v>
      </c>
      <c r="J108">
        <v>16330</v>
      </c>
      <c r="K108">
        <v>123</v>
      </c>
      <c r="L108" t="s">
        <v>22</v>
      </c>
      <c r="M108" t="s">
        <v>32</v>
      </c>
      <c r="N108">
        <v>13.35</v>
      </c>
    </row>
    <row r="109" spans="1:14">
      <c r="A109" t="s">
        <v>112</v>
      </c>
      <c r="B109" t="s">
        <v>27</v>
      </c>
      <c r="C109" s="1">
        <v>45505</v>
      </c>
      <c r="D109" t="s">
        <v>15</v>
      </c>
      <c r="E109" t="s">
        <v>16</v>
      </c>
      <c r="F109">
        <v>1674</v>
      </c>
      <c r="G109">
        <v>929</v>
      </c>
      <c r="H109">
        <v>37</v>
      </c>
      <c r="I109">
        <v>21762</v>
      </c>
      <c r="J109">
        <v>20998</v>
      </c>
      <c r="K109">
        <v>255</v>
      </c>
      <c r="L109" t="s">
        <v>31</v>
      </c>
      <c r="M109" t="s">
        <v>32</v>
      </c>
      <c r="N109">
        <v>12.13</v>
      </c>
    </row>
    <row r="110" spans="1:14">
      <c r="A110" t="s">
        <v>112</v>
      </c>
      <c r="B110" t="s">
        <v>27</v>
      </c>
      <c r="C110" s="1">
        <v>45505</v>
      </c>
      <c r="D110" t="s">
        <v>15</v>
      </c>
      <c r="E110" t="s">
        <v>16</v>
      </c>
      <c r="F110">
        <v>1674</v>
      </c>
      <c r="G110">
        <v>929</v>
      </c>
      <c r="H110">
        <v>37</v>
      </c>
      <c r="I110">
        <v>21762</v>
      </c>
      <c r="J110">
        <v>20998</v>
      </c>
      <c r="K110">
        <v>255</v>
      </c>
      <c r="L110" t="s">
        <v>52</v>
      </c>
      <c r="M110" t="s">
        <v>32</v>
      </c>
      <c r="N110">
        <v>12.13</v>
      </c>
    </row>
    <row r="111" spans="1:14">
      <c r="A111" t="s">
        <v>113</v>
      </c>
      <c r="B111" t="s">
        <v>14</v>
      </c>
      <c r="C111" s="1">
        <v>45603</v>
      </c>
      <c r="D111" t="s">
        <v>28</v>
      </c>
      <c r="E111" t="s">
        <v>29</v>
      </c>
      <c r="F111">
        <v>1121</v>
      </c>
      <c r="G111">
        <v>135</v>
      </c>
      <c r="H111">
        <v>18</v>
      </c>
      <c r="I111">
        <v>15694</v>
      </c>
      <c r="J111">
        <v>14957</v>
      </c>
      <c r="K111">
        <v>99</v>
      </c>
      <c r="L111" t="s">
        <v>17</v>
      </c>
      <c r="M111" t="s">
        <v>44</v>
      </c>
      <c r="N111">
        <v>8.1199999999999992</v>
      </c>
    </row>
    <row r="112" spans="1:14">
      <c r="A112" t="s">
        <v>113</v>
      </c>
      <c r="B112" t="s">
        <v>14</v>
      </c>
      <c r="C112" s="1">
        <v>45603</v>
      </c>
      <c r="D112" t="s">
        <v>28</v>
      </c>
      <c r="E112" t="s">
        <v>29</v>
      </c>
      <c r="F112">
        <v>1121</v>
      </c>
      <c r="G112">
        <v>135</v>
      </c>
      <c r="H112">
        <v>18</v>
      </c>
      <c r="I112">
        <v>15694</v>
      </c>
      <c r="J112">
        <v>14957</v>
      </c>
      <c r="K112">
        <v>99</v>
      </c>
      <c r="L112" t="s">
        <v>22</v>
      </c>
      <c r="M112" t="s">
        <v>44</v>
      </c>
      <c r="N112">
        <v>8.1199999999999992</v>
      </c>
    </row>
    <row r="113" spans="1:14">
      <c r="A113" t="s">
        <v>114</v>
      </c>
      <c r="B113" t="s">
        <v>34</v>
      </c>
      <c r="C113" s="1">
        <v>45720</v>
      </c>
      <c r="D113" t="s">
        <v>28</v>
      </c>
      <c r="E113" t="s">
        <v>29</v>
      </c>
      <c r="F113">
        <v>1249</v>
      </c>
      <c r="G113">
        <v>116</v>
      </c>
      <c r="H113">
        <v>420</v>
      </c>
      <c r="I113">
        <v>8743</v>
      </c>
      <c r="J113">
        <v>8538</v>
      </c>
      <c r="K113">
        <v>63</v>
      </c>
      <c r="L113" t="s">
        <v>22</v>
      </c>
      <c r="M113" t="s">
        <v>32</v>
      </c>
      <c r="N113">
        <v>20.420000000000002</v>
      </c>
    </row>
    <row r="114" spans="1:14">
      <c r="A114" t="s">
        <v>114</v>
      </c>
      <c r="B114" t="s">
        <v>34</v>
      </c>
      <c r="C114" s="1">
        <v>45720</v>
      </c>
      <c r="D114" t="s">
        <v>28</v>
      </c>
      <c r="E114" t="s">
        <v>29</v>
      </c>
      <c r="F114">
        <v>1249</v>
      </c>
      <c r="G114">
        <v>116</v>
      </c>
      <c r="H114">
        <v>420</v>
      </c>
      <c r="I114">
        <v>8743</v>
      </c>
      <c r="J114">
        <v>8538</v>
      </c>
      <c r="K114">
        <v>63</v>
      </c>
      <c r="L114" t="s">
        <v>52</v>
      </c>
      <c r="M114" t="s">
        <v>32</v>
      </c>
      <c r="N114">
        <v>20.420000000000002</v>
      </c>
    </row>
    <row r="115" spans="1:14">
      <c r="A115" t="s">
        <v>115</v>
      </c>
      <c r="B115" t="s">
        <v>14</v>
      </c>
      <c r="C115" s="1">
        <v>45460</v>
      </c>
      <c r="D115" t="s">
        <v>40</v>
      </c>
      <c r="E115" t="s">
        <v>41</v>
      </c>
      <c r="F115">
        <v>954</v>
      </c>
      <c r="G115">
        <v>324</v>
      </c>
      <c r="H115">
        <v>288</v>
      </c>
      <c r="I115">
        <v>19080</v>
      </c>
      <c r="J115">
        <v>18859</v>
      </c>
      <c r="K115">
        <v>21</v>
      </c>
      <c r="L115" t="s">
        <v>37</v>
      </c>
      <c r="M115" t="s">
        <v>32</v>
      </c>
      <c r="N115">
        <v>8.2100000000000009</v>
      </c>
    </row>
    <row r="116" spans="1:14">
      <c r="A116" t="s">
        <v>116</v>
      </c>
      <c r="B116" t="s">
        <v>27</v>
      </c>
      <c r="C116" s="1">
        <v>45574</v>
      </c>
      <c r="D116" t="s">
        <v>35</v>
      </c>
      <c r="E116" t="s">
        <v>36</v>
      </c>
      <c r="F116">
        <v>3068</v>
      </c>
      <c r="G116">
        <v>137</v>
      </c>
      <c r="H116">
        <v>329</v>
      </c>
      <c r="I116">
        <v>39884</v>
      </c>
      <c r="J116">
        <v>39404</v>
      </c>
      <c r="K116">
        <v>266</v>
      </c>
      <c r="L116" t="s">
        <v>17</v>
      </c>
      <c r="M116" t="s">
        <v>32</v>
      </c>
      <c r="N116">
        <v>8.86</v>
      </c>
    </row>
    <row r="117" spans="1:14">
      <c r="A117" t="s">
        <v>116</v>
      </c>
      <c r="B117" t="s">
        <v>27</v>
      </c>
      <c r="C117" s="1">
        <v>45574</v>
      </c>
      <c r="D117" t="s">
        <v>35</v>
      </c>
      <c r="E117" t="s">
        <v>36</v>
      </c>
      <c r="F117">
        <v>3068</v>
      </c>
      <c r="G117">
        <v>137</v>
      </c>
      <c r="H117">
        <v>329</v>
      </c>
      <c r="I117">
        <v>39884</v>
      </c>
      <c r="J117">
        <v>39404</v>
      </c>
      <c r="K117">
        <v>266</v>
      </c>
      <c r="L117" t="s">
        <v>37</v>
      </c>
      <c r="M117" t="s">
        <v>32</v>
      </c>
      <c r="N117">
        <v>8.86</v>
      </c>
    </row>
    <row r="118" spans="1:14">
      <c r="A118" t="s">
        <v>117</v>
      </c>
      <c r="B118" t="s">
        <v>27</v>
      </c>
      <c r="C118" s="1">
        <v>45456</v>
      </c>
      <c r="D118" t="s">
        <v>28</v>
      </c>
      <c r="E118" t="s">
        <v>29</v>
      </c>
      <c r="F118">
        <v>2103</v>
      </c>
      <c r="G118">
        <v>892</v>
      </c>
      <c r="H118">
        <v>103</v>
      </c>
      <c r="I118">
        <v>39957</v>
      </c>
      <c r="J118">
        <v>39466</v>
      </c>
      <c r="K118">
        <v>28</v>
      </c>
      <c r="L118" t="s">
        <v>52</v>
      </c>
      <c r="M118" t="s">
        <v>23</v>
      </c>
      <c r="N118">
        <v>7.75</v>
      </c>
    </row>
    <row r="119" spans="1:14">
      <c r="A119" t="s">
        <v>117</v>
      </c>
      <c r="B119" t="s">
        <v>27</v>
      </c>
      <c r="C119" s="1">
        <v>45456</v>
      </c>
      <c r="D119" t="s">
        <v>28</v>
      </c>
      <c r="E119" t="s">
        <v>29</v>
      </c>
      <c r="F119">
        <v>2103</v>
      </c>
      <c r="G119">
        <v>892</v>
      </c>
      <c r="H119">
        <v>103</v>
      </c>
      <c r="I119">
        <v>39957</v>
      </c>
      <c r="J119">
        <v>39466</v>
      </c>
      <c r="K119">
        <v>28</v>
      </c>
      <c r="L119" t="s">
        <v>22</v>
      </c>
      <c r="M119" t="s">
        <v>23</v>
      </c>
      <c r="N119">
        <v>7.75</v>
      </c>
    </row>
    <row r="120" spans="1:14">
      <c r="A120" t="s">
        <v>118</v>
      </c>
      <c r="B120" t="s">
        <v>27</v>
      </c>
      <c r="C120" s="1">
        <v>45584</v>
      </c>
      <c r="D120" t="s">
        <v>28</v>
      </c>
      <c r="E120" t="s">
        <v>29</v>
      </c>
      <c r="F120">
        <v>1816</v>
      </c>
      <c r="G120">
        <v>29</v>
      </c>
      <c r="H120">
        <v>41</v>
      </c>
      <c r="I120">
        <v>19976</v>
      </c>
      <c r="J120">
        <v>19262</v>
      </c>
      <c r="K120">
        <v>283</v>
      </c>
      <c r="L120" t="s">
        <v>37</v>
      </c>
      <c r="M120" t="s">
        <v>32</v>
      </c>
      <c r="N120">
        <v>9.44</v>
      </c>
    </row>
    <row r="121" spans="1:14">
      <c r="A121" t="s">
        <v>118</v>
      </c>
      <c r="B121" t="s">
        <v>27</v>
      </c>
      <c r="C121" s="1">
        <v>45584</v>
      </c>
      <c r="D121" t="s">
        <v>28</v>
      </c>
      <c r="E121" t="s">
        <v>29</v>
      </c>
      <c r="F121">
        <v>1816</v>
      </c>
      <c r="G121">
        <v>29</v>
      </c>
      <c r="H121">
        <v>41</v>
      </c>
      <c r="I121">
        <v>19976</v>
      </c>
      <c r="J121">
        <v>19262</v>
      </c>
      <c r="K121">
        <v>283</v>
      </c>
      <c r="L121" t="s">
        <v>17</v>
      </c>
      <c r="M121" t="s">
        <v>32</v>
      </c>
      <c r="N121">
        <v>9.44</v>
      </c>
    </row>
    <row r="122" spans="1:14">
      <c r="A122" t="s">
        <v>119</v>
      </c>
      <c r="B122" t="s">
        <v>27</v>
      </c>
      <c r="C122" s="1">
        <v>45497</v>
      </c>
      <c r="D122" t="s">
        <v>40</v>
      </c>
      <c r="E122" t="s">
        <v>41</v>
      </c>
      <c r="F122">
        <v>725</v>
      </c>
      <c r="G122">
        <v>88</v>
      </c>
      <c r="H122">
        <v>428</v>
      </c>
      <c r="I122">
        <v>14500</v>
      </c>
      <c r="J122">
        <v>13637</v>
      </c>
      <c r="K122">
        <v>200</v>
      </c>
      <c r="L122" t="s">
        <v>37</v>
      </c>
      <c r="M122" t="s">
        <v>32</v>
      </c>
      <c r="N122">
        <v>8.56</v>
      </c>
    </row>
    <row r="123" spans="1:14">
      <c r="A123" t="s">
        <v>120</v>
      </c>
      <c r="B123" t="s">
        <v>25</v>
      </c>
      <c r="C123" s="1">
        <v>45580</v>
      </c>
      <c r="D123" t="s">
        <v>50</v>
      </c>
      <c r="E123" t="s">
        <v>51</v>
      </c>
      <c r="F123">
        <v>1094</v>
      </c>
      <c r="G123">
        <v>472</v>
      </c>
      <c r="H123">
        <v>21</v>
      </c>
      <c r="I123">
        <v>9846</v>
      </c>
      <c r="J123">
        <v>9609</v>
      </c>
      <c r="K123">
        <v>112</v>
      </c>
      <c r="L123" t="s">
        <v>37</v>
      </c>
      <c r="M123" t="s">
        <v>32</v>
      </c>
      <c r="N123">
        <v>16.12</v>
      </c>
    </row>
    <row r="124" spans="1:14">
      <c r="A124" t="s">
        <v>120</v>
      </c>
      <c r="B124" t="s">
        <v>25</v>
      </c>
      <c r="C124" s="1">
        <v>45580</v>
      </c>
      <c r="D124" t="s">
        <v>50</v>
      </c>
      <c r="E124" t="s">
        <v>51</v>
      </c>
      <c r="F124">
        <v>1094</v>
      </c>
      <c r="G124">
        <v>472</v>
      </c>
      <c r="H124">
        <v>21</v>
      </c>
      <c r="I124">
        <v>9846</v>
      </c>
      <c r="J124">
        <v>9609</v>
      </c>
      <c r="K124">
        <v>112</v>
      </c>
      <c r="L124" t="s">
        <v>31</v>
      </c>
      <c r="M124" t="s">
        <v>32</v>
      </c>
      <c r="N124">
        <v>16.12</v>
      </c>
    </row>
    <row r="125" spans="1:14">
      <c r="A125" t="s">
        <v>121</v>
      </c>
      <c r="B125" t="s">
        <v>34</v>
      </c>
      <c r="C125" s="1">
        <v>45635</v>
      </c>
      <c r="D125" t="s">
        <v>40</v>
      </c>
      <c r="E125" t="s">
        <v>41</v>
      </c>
      <c r="F125">
        <v>1841</v>
      </c>
      <c r="G125">
        <v>851</v>
      </c>
      <c r="H125">
        <v>342</v>
      </c>
      <c r="I125">
        <v>34979</v>
      </c>
      <c r="J125">
        <v>34154</v>
      </c>
      <c r="K125">
        <v>255</v>
      </c>
      <c r="L125" t="s">
        <v>22</v>
      </c>
      <c r="M125" t="s">
        <v>18</v>
      </c>
      <c r="N125">
        <v>8.67</v>
      </c>
    </row>
    <row r="126" spans="1:14">
      <c r="A126" t="s">
        <v>121</v>
      </c>
      <c r="B126" t="s">
        <v>34</v>
      </c>
      <c r="C126" s="1">
        <v>45635</v>
      </c>
      <c r="D126" t="s">
        <v>40</v>
      </c>
      <c r="E126" t="s">
        <v>41</v>
      </c>
      <c r="F126">
        <v>1841</v>
      </c>
      <c r="G126">
        <v>851</v>
      </c>
      <c r="H126">
        <v>342</v>
      </c>
      <c r="I126">
        <v>34979</v>
      </c>
      <c r="J126">
        <v>34154</v>
      </c>
      <c r="K126">
        <v>255</v>
      </c>
      <c r="L126" t="s">
        <v>52</v>
      </c>
      <c r="M126" t="s">
        <v>18</v>
      </c>
      <c r="N126">
        <v>8.67</v>
      </c>
    </row>
    <row r="127" spans="1:14">
      <c r="A127" t="s">
        <v>122</v>
      </c>
      <c r="B127" t="s">
        <v>27</v>
      </c>
      <c r="C127" s="1">
        <v>45766</v>
      </c>
      <c r="D127" t="s">
        <v>40</v>
      </c>
      <c r="E127" t="s">
        <v>41</v>
      </c>
      <c r="F127">
        <v>4177</v>
      </c>
      <c r="G127">
        <v>569</v>
      </c>
      <c r="H127">
        <v>55</v>
      </c>
      <c r="I127">
        <v>25062</v>
      </c>
      <c r="J127">
        <v>24847</v>
      </c>
      <c r="K127">
        <v>230</v>
      </c>
      <c r="L127" t="s">
        <v>22</v>
      </c>
      <c r="M127" t="s">
        <v>18</v>
      </c>
      <c r="N127">
        <v>19.16</v>
      </c>
    </row>
    <row r="128" spans="1:14">
      <c r="A128" t="s">
        <v>123</v>
      </c>
      <c r="B128" t="s">
        <v>25</v>
      </c>
      <c r="C128" s="1">
        <v>45684</v>
      </c>
      <c r="D128" t="s">
        <v>20</v>
      </c>
      <c r="E128" t="s">
        <v>21</v>
      </c>
      <c r="F128">
        <v>3428</v>
      </c>
      <c r="G128">
        <v>305</v>
      </c>
      <c r="H128">
        <v>85</v>
      </c>
      <c r="I128">
        <v>58276</v>
      </c>
      <c r="J128">
        <v>58052</v>
      </c>
      <c r="K128">
        <v>242</v>
      </c>
      <c r="L128" t="s">
        <v>37</v>
      </c>
      <c r="M128" t="s">
        <v>32</v>
      </c>
      <c r="N128">
        <v>6.55</v>
      </c>
    </row>
    <row r="129" spans="1:14">
      <c r="A129" t="s">
        <v>123</v>
      </c>
      <c r="B129" t="s">
        <v>25</v>
      </c>
      <c r="C129" s="1">
        <v>45684</v>
      </c>
      <c r="D129" t="s">
        <v>20</v>
      </c>
      <c r="E129" t="s">
        <v>21</v>
      </c>
      <c r="F129">
        <v>3428</v>
      </c>
      <c r="G129">
        <v>305</v>
      </c>
      <c r="H129">
        <v>85</v>
      </c>
      <c r="I129">
        <v>58276</v>
      </c>
      <c r="J129">
        <v>58052</v>
      </c>
      <c r="K129">
        <v>242</v>
      </c>
      <c r="L129" t="s">
        <v>31</v>
      </c>
      <c r="M129" t="s">
        <v>32</v>
      </c>
      <c r="N129">
        <v>6.55</v>
      </c>
    </row>
    <row r="130" spans="1:14">
      <c r="A130" t="s">
        <v>124</v>
      </c>
      <c r="B130" t="s">
        <v>14</v>
      </c>
      <c r="C130" s="1">
        <v>45449</v>
      </c>
      <c r="D130" t="s">
        <v>50</v>
      </c>
      <c r="E130" t="s">
        <v>51</v>
      </c>
      <c r="F130">
        <v>1436</v>
      </c>
      <c r="G130">
        <v>765</v>
      </c>
      <c r="H130">
        <v>496</v>
      </c>
      <c r="I130">
        <v>12924</v>
      </c>
      <c r="J130">
        <v>12701</v>
      </c>
      <c r="K130">
        <v>197</v>
      </c>
      <c r="L130" t="s">
        <v>37</v>
      </c>
      <c r="M130" t="s">
        <v>23</v>
      </c>
      <c r="N130">
        <v>20.87</v>
      </c>
    </row>
    <row r="131" spans="1:14">
      <c r="A131" t="s">
        <v>124</v>
      </c>
      <c r="B131" t="s">
        <v>14</v>
      </c>
      <c r="C131" s="1">
        <v>45449</v>
      </c>
      <c r="D131" t="s">
        <v>50</v>
      </c>
      <c r="E131" t="s">
        <v>51</v>
      </c>
      <c r="F131">
        <v>1436</v>
      </c>
      <c r="G131">
        <v>765</v>
      </c>
      <c r="H131">
        <v>496</v>
      </c>
      <c r="I131">
        <v>12924</v>
      </c>
      <c r="J131">
        <v>12701</v>
      </c>
      <c r="K131">
        <v>197</v>
      </c>
      <c r="L131" t="s">
        <v>17</v>
      </c>
      <c r="M131" t="s">
        <v>23</v>
      </c>
      <c r="N131">
        <v>20.87</v>
      </c>
    </row>
    <row r="132" spans="1:14">
      <c r="A132" t="s">
        <v>125</v>
      </c>
      <c r="B132" t="s">
        <v>34</v>
      </c>
      <c r="C132" s="1">
        <v>45480</v>
      </c>
      <c r="D132" t="s">
        <v>28</v>
      </c>
      <c r="E132" t="s">
        <v>29</v>
      </c>
      <c r="F132">
        <v>302</v>
      </c>
      <c r="G132">
        <v>47</v>
      </c>
      <c r="H132">
        <v>430</v>
      </c>
      <c r="I132">
        <v>5738</v>
      </c>
      <c r="J132">
        <v>4890</v>
      </c>
      <c r="K132">
        <v>25</v>
      </c>
      <c r="L132" t="s">
        <v>22</v>
      </c>
      <c r="M132" t="s">
        <v>23</v>
      </c>
      <c r="N132">
        <v>13.58</v>
      </c>
    </row>
    <row r="133" spans="1:14">
      <c r="A133" t="s">
        <v>125</v>
      </c>
      <c r="B133" t="s">
        <v>34</v>
      </c>
      <c r="C133" s="1">
        <v>45480</v>
      </c>
      <c r="D133" t="s">
        <v>28</v>
      </c>
      <c r="E133" t="s">
        <v>29</v>
      </c>
      <c r="F133">
        <v>302</v>
      </c>
      <c r="G133">
        <v>47</v>
      </c>
      <c r="H133">
        <v>430</v>
      </c>
      <c r="I133">
        <v>5738</v>
      </c>
      <c r="J133">
        <v>4890</v>
      </c>
      <c r="K133">
        <v>25</v>
      </c>
      <c r="L133" t="s">
        <v>17</v>
      </c>
      <c r="M133" t="s">
        <v>23</v>
      </c>
      <c r="N133">
        <v>13.58</v>
      </c>
    </row>
    <row r="134" spans="1:14">
      <c r="A134" t="s">
        <v>126</v>
      </c>
      <c r="B134" t="s">
        <v>14</v>
      </c>
      <c r="C134" s="1">
        <v>45667</v>
      </c>
      <c r="D134" t="s">
        <v>40</v>
      </c>
      <c r="E134" t="s">
        <v>41</v>
      </c>
      <c r="F134">
        <v>2214</v>
      </c>
      <c r="G134">
        <v>249</v>
      </c>
      <c r="H134">
        <v>152</v>
      </c>
      <c r="I134">
        <v>15498</v>
      </c>
      <c r="J134">
        <v>14800</v>
      </c>
      <c r="K134">
        <v>180</v>
      </c>
      <c r="L134" t="s">
        <v>17</v>
      </c>
      <c r="M134" t="s">
        <v>23</v>
      </c>
      <c r="N134">
        <v>16.87</v>
      </c>
    </row>
    <row r="135" spans="1:14">
      <c r="A135" t="s">
        <v>127</v>
      </c>
      <c r="B135" t="s">
        <v>27</v>
      </c>
      <c r="C135" s="1">
        <v>45446</v>
      </c>
      <c r="D135" t="s">
        <v>40</v>
      </c>
      <c r="E135" t="s">
        <v>41</v>
      </c>
      <c r="F135">
        <v>3861</v>
      </c>
      <c r="G135">
        <v>960</v>
      </c>
      <c r="H135">
        <v>101</v>
      </c>
      <c r="I135">
        <v>69498</v>
      </c>
      <c r="J135">
        <v>68817</v>
      </c>
      <c r="K135">
        <v>297</v>
      </c>
      <c r="L135" t="s">
        <v>22</v>
      </c>
      <c r="M135" t="s">
        <v>23</v>
      </c>
      <c r="N135">
        <v>7.08</v>
      </c>
    </row>
    <row r="136" spans="1:14">
      <c r="A136" t="s">
        <v>128</v>
      </c>
      <c r="B136" t="s">
        <v>34</v>
      </c>
      <c r="C136" s="1">
        <v>45740</v>
      </c>
      <c r="D136" t="s">
        <v>40</v>
      </c>
      <c r="E136" t="s">
        <v>41</v>
      </c>
      <c r="F136">
        <v>1263</v>
      </c>
      <c r="G136">
        <v>397</v>
      </c>
      <c r="H136">
        <v>357</v>
      </c>
      <c r="I136">
        <v>25260</v>
      </c>
      <c r="J136">
        <v>24615</v>
      </c>
      <c r="K136">
        <v>137</v>
      </c>
      <c r="L136" t="s">
        <v>17</v>
      </c>
      <c r="M136" t="s">
        <v>23</v>
      </c>
      <c r="N136">
        <v>7.98</v>
      </c>
    </row>
    <row r="137" spans="1:14">
      <c r="A137" t="s">
        <v>129</v>
      </c>
      <c r="B137" t="s">
        <v>14</v>
      </c>
      <c r="C137" s="1">
        <v>45586</v>
      </c>
      <c r="D137" t="s">
        <v>28</v>
      </c>
      <c r="E137" t="s">
        <v>29</v>
      </c>
      <c r="F137">
        <v>3801</v>
      </c>
      <c r="G137">
        <v>967</v>
      </c>
      <c r="H137">
        <v>401</v>
      </c>
      <c r="I137">
        <v>38010</v>
      </c>
      <c r="J137">
        <v>37625</v>
      </c>
      <c r="K137">
        <v>236</v>
      </c>
      <c r="L137" t="s">
        <v>31</v>
      </c>
      <c r="M137" t="s">
        <v>44</v>
      </c>
      <c r="N137">
        <v>13.6</v>
      </c>
    </row>
    <row r="138" spans="1:14">
      <c r="A138" t="s">
        <v>130</v>
      </c>
      <c r="B138" t="s">
        <v>27</v>
      </c>
      <c r="C138" s="1">
        <v>45637</v>
      </c>
      <c r="D138" t="s">
        <v>50</v>
      </c>
      <c r="E138" t="s">
        <v>51</v>
      </c>
      <c r="F138">
        <v>1431</v>
      </c>
      <c r="G138">
        <v>951</v>
      </c>
      <c r="H138">
        <v>26</v>
      </c>
      <c r="I138">
        <v>8586</v>
      </c>
      <c r="J138">
        <v>8396</v>
      </c>
      <c r="K138">
        <v>150</v>
      </c>
      <c r="L138" t="s">
        <v>37</v>
      </c>
      <c r="M138" t="s">
        <v>18</v>
      </c>
      <c r="N138">
        <v>28.05</v>
      </c>
    </row>
    <row r="139" spans="1:14">
      <c r="A139" t="s">
        <v>130</v>
      </c>
      <c r="B139" t="s">
        <v>27</v>
      </c>
      <c r="C139" s="1">
        <v>45637</v>
      </c>
      <c r="D139" t="s">
        <v>50</v>
      </c>
      <c r="E139" t="s">
        <v>51</v>
      </c>
      <c r="F139">
        <v>1431</v>
      </c>
      <c r="G139">
        <v>951</v>
      </c>
      <c r="H139">
        <v>26</v>
      </c>
      <c r="I139">
        <v>8586</v>
      </c>
      <c r="J139">
        <v>8396</v>
      </c>
      <c r="K139">
        <v>150</v>
      </c>
      <c r="L139" t="s">
        <v>52</v>
      </c>
      <c r="M139" t="s">
        <v>18</v>
      </c>
      <c r="N139">
        <v>28.05</v>
      </c>
    </row>
    <row r="140" spans="1:14">
      <c r="A140" t="s">
        <v>131</v>
      </c>
      <c r="B140" t="s">
        <v>27</v>
      </c>
      <c r="C140" s="1">
        <v>45603</v>
      </c>
      <c r="D140" t="s">
        <v>40</v>
      </c>
      <c r="E140" t="s">
        <v>41</v>
      </c>
      <c r="F140">
        <v>2647</v>
      </c>
      <c r="G140">
        <v>304</v>
      </c>
      <c r="H140">
        <v>170</v>
      </c>
      <c r="I140">
        <v>18529</v>
      </c>
      <c r="J140">
        <v>17841</v>
      </c>
      <c r="K140">
        <v>46</v>
      </c>
      <c r="L140" t="s">
        <v>31</v>
      </c>
      <c r="M140" t="s">
        <v>23</v>
      </c>
      <c r="N140">
        <v>16.84</v>
      </c>
    </row>
    <row r="141" spans="1:14">
      <c r="A141" t="s">
        <v>132</v>
      </c>
      <c r="B141" t="s">
        <v>27</v>
      </c>
      <c r="C141" s="1">
        <v>45604</v>
      </c>
      <c r="D141" t="s">
        <v>20</v>
      </c>
      <c r="E141" t="s">
        <v>21</v>
      </c>
      <c r="F141">
        <v>3182</v>
      </c>
      <c r="G141">
        <v>559</v>
      </c>
      <c r="H141">
        <v>160</v>
      </c>
      <c r="I141">
        <v>57276</v>
      </c>
      <c r="J141">
        <v>56890</v>
      </c>
      <c r="K141">
        <v>163</v>
      </c>
      <c r="L141" t="s">
        <v>31</v>
      </c>
      <c r="M141" t="s">
        <v>23</v>
      </c>
      <c r="N141">
        <v>6.81</v>
      </c>
    </row>
    <row r="142" spans="1:14">
      <c r="A142" t="s">
        <v>132</v>
      </c>
      <c r="B142" t="s">
        <v>27</v>
      </c>
      <c r="C142" s="1">
        <v>45604</v>
      </c>
      <c r="D142" t="s">
        <v>20</v>
      </c>
      <c r="E142" t="s">
        <v>21</v>
      </c>
      <c r="F142">
        <v>3182</v>
      </c>
      <c r="G142">
        <v>559</v>
      </c>
      <c r="H142">
        <v>160</v>
      </c>
      <c r="I142">
        <v>57276</v>
      </c>
      <c r="J142">
        <v>56890</v>
      </c>
      <c r="K142">
        <v>163</v>
      </c>
      <c r="L142" t="s">
        <v>37</v>
      </c>
      <c r="M142" t="s">
        <v>23</v>
      </c>
      <c r="N142">
        <v>6.81</v>
      </c>
    </row>
    <row r="143" spans="1:14">
      <c r="A143" t="s">
        <v>133</v>
      </c>
      <c r="B143" t="s">
        <v>14</v>
      </c>
      <c r="C143" s="1">
        <v>45545</v>
      </c>
      <c r="D143" t="s">
        <v>40</v>
      </c>
      <c r="E143" t="s">
        <v>41</v>
      </c>
      <c r="F143">
        <v>1238</v>
      </c>
      <c r="G143">
        <v>366</v>
      </c>
      <c r="H143">
        <v>444</v>
      </c>
      <c r="I143">
        <v>19808</v>
      </c>
      <c r="J143">
        <v>19334</v>
      </c>
      <c r="K143">
        <v>123</v>
      </c>
      <c r="L143" t="s">
        <v>52</v>
      </c>
      <c r="M143" t="s">
        <v>32</v>
      </c>
      <c r="N143">
        <v>10.34</v>
      </c>
    </row>
    <row r="144" spans="1:14">
      <c r="A144" t="s">
        <v>134</v>
      </c>
      <c r="B144" t="s">
        <v>27</v>
      </c>
      <c r="C144" s="1">
        <v>45517</v>
      </c>
      <c r="D144" t="s">
        <v>40</v>
      </c>
      <c r="E144" t="s">
        <v>41</v>
      </c>
      <c r="F144">
        <v>4739</v>
      </c>
      <c r="G144">
        <v>527</v>
      </c>
      <c r="H144">
        <v>135</v>
      </c>
      <c r="I144">
        <v>61607</v>
      </c>
      <c r="J144">
        <v>61333</v>
      </c>
      <c r="K144">
        <v>36</v>
      </c>
      <c r="L144" t="s">
        <v>31</v>
      </c>
      <c r="M144" t="s">
        <v>23</v>
      </c>
      <c r="N144">
        <v>8.77</v>
      </c>
    </row>
    <row r="145" spans="1:14">
      <c r="A145" t="s">
        <v>134</v>
      </c>
      <c r="B145" t="s">
        <v>27</v>
      </c>
      <c r="C145" s="1">
        <v>45517</v>
      </c>
      <c r="D145" t="s">
        <v>40</v>
      </c>
      <c r="E145" t="s">
        <v>41</v>
      </c>
      <c r="F145">
        <v>4739</v>
      </c>
      <c r="G145">
        <v>527</v>
      </c>
      <c r="H145">
        <v>135</v>
      </c>
      <c r="I145">
        <v>61607</v>
      </c>
      <c r="J145">
        <v>61333</v>
      </c>
      <c r="K145">
        <v>36</v>
      </c>
      <c r="L145" t="s">
        <v>17</v>
      </c>
      <c r="M145" t="s">
        <v>23</v>
      </c>
      <c r="N145">
        <v>8.77</v>
      </c>
    </row>
    <row r="146" spans="1:14">
      <c r="A146" t="s">
        <v>135</v>
      </c>
      <c r="B146" t="s">
        <v>14</v>
      </c>
      <c r="C146" s="1">
        <v>45453</v>
      </c>
      <c r="D146" t="s">
        <v>28</v>
      </c>
      <c r="E146" t="s">
        <v>29</v>
      </c>
      <c r="F146">
        <v>1575</v>
      </c>
      <c r="G146">
        <v>771</v>
      </c>
      <c r="H146">
        <v>486</v>
      </c>
      <c r="I146">
        <v>25200</v>
      </c>
      <c r="J146">
        <v>24826</v>
      </c>
      <c r="K146">
        <v>17</v>
      </c>
      <c r="L146" t="s">
        <v>31</v>
      </c>
      <c r="M146" t="s">
        <v>32</v>
      </c>
      <c r="N146">
        <v>11.24</v>
      </c>
    </row>
    <row r="147" spans="1:14">
      <c r="A147" t="s">
        <v>136</v>
      </c>
      <c r="B147" t="s">
        <v>25</v>
      </c>
      <c r="C147" s="1">
        <v>45475</v>
      </c>
      <c r="D147" t="s">
        <v>35</v>
      </c>
      <c r="E147" t="s">
        <v>36</v>
      </c>
      <c r="F147">
        <v>4171</v>
      </c>
      <c r="G147">
        <v>548</v>
      </c>
      <c r="H147">
        <v>86</v>
      </c>
      <c r="I147">
        <v>66736</v>
      </c>
      <c r="J147">
        <v>66634</v>
      </c>
      <c r="K147">
        <v>173</v>
      </c>
      <c r="L147" t="s">
        <v>31</v>
      </c>
      <c r="M147" t="s">
        <v>32</v>
      </c>
      <c r="N147">
        <v>7.2</v>
      </c>
    </row>
    <row r="148" spans="1:14">
      <c r="A148" t="s">
        <v>137</v>
      </c>
      <c r="B148" t="s">
        <v>25</v>
      </c>
      <c r="C148" s="1">
        <v>45698</v>
      </c>
      <c r="D148" t="s">
        <v>50</v>
      </c>
      <c r="E148" t="s">
        <v>51</v>
      </c>
      <c r="F148">
        <v>1766</v>
      </c>
      <c r="G148">
        <v>92</v>
      </c>
      <c r="H148">
        <v>424</v>
      </c>
      <c r="I148">
        <v>24724</v>
      </c>
      <c r="J148">
        <v>24333</v>
      </c>
      <c r="K148">
        <v>52</v>
      </c>
      <c r="L148" t="s">
        <v>31</v>
      </c>
      <c r="M148" t="s">
        <v>18</v>
      </c>
      <c r="N148">
        <v>9.23</v>
      </c>
    </row>
    <row r="149" spans="1:14">
      <c r="A149" t="s">
        <v>138</v>
      </c>
      <c r="B149" t="s">
        <v>25</v>
      </c>
      <c r="C149" s="1">
        <v>45583</v>
      </c>
      <c r="D149" t="s">
        <v>50</v>
      </c>
      <c r="E149" t="s">
        <v>51</v>
      </c>
      <c r="F149">
        <v>4450</v>
      </c>
      <c r="G149">
        <v>983</v>
      </c>
      <c r="H149">
        <v>143</v>
      </c>
      <c r="I149">
        <v>75650</v>
      </c>
      <c r="J149">
        <v>75008</v>
      </c>
      <c r="K149">
        <v>12</v>
      </c>
      <c r="L149" t="s">
        <v>17</v>
      </c>
      <c r="M149" t="s">
        <v>23</v>
      </c>
      <c r="N149">
        <v>7.37</v>
      </c>
    </row>
    <row r="150" spans="1:14">
      <c r="A150" t="s">
        <v>138</v>
      </c>
      <c r="B150" t="s">
        <v>25</v>
      </c>
      <c r="C150" s="1">
        <v>45583</v>
      </c>
      <c r="D150" t="s">
        <v>50</v>
      </c>
      <c r="E150" t="s">
        <v>51</v>
      </c>
      <c r="F150">
        <v>4450</v>
      </c>
      <c r="G150">
        <v>983</v>
      </c>
      <c r="H150">
        <v>143</v>
      </c>
      <c r="I150">
        <v>75650</v>
      </c>
      <c r="J150">
        <v>75008</v>
      </c>
      <c r="K150">
        <v>12</v>
      </c>
      <c r="L150" t="s">
        <v>31</v>
      </c>
      <c r="M150" t="s">
        <v>23</v>
      </c>
      <c r="N150">
        <v>7.37</v>
      </c>
    </row>
    <row r="151" spans="1:14">
      <c r="A151" t="s">
        <v>139</v>
      </c>
      <c r="B151" t="s">
        <v>14</v>
      </c>
      <c r="C151" s="1">
        <v>45553</v>
      </c>
      <c r="D151" t="s">
        <v>15</v>
      </c>
      <c r="E151" t="s">
        <v>16</v>
      </c>
      <c r="F151">
        <v>1000</v>
      </c>
      <c r="G151">
        <v>978</v>
      </c>
      <c r="H151">
        <v>162</v>
      </c>
      <c r="I151">
        <v>6000</v>
      </c>
      <c r="J151">
        <v>5221</v>
      </c>
      <c r="K151">
        <v>223</v>
      </c>
      <c r="L151" t="s">
        <v>37</v>
      </c>
      <c r="M151" t="s">
        <v>32</v>
      </c>
      <c r="N151">
        <v>35.67</v>
      </c>
    </row>
    <row r="152" spans="1:14">
      <c r="A152" t="s">
        <v>139</v>
      </c>
      <c r="B152" t="s">
        <v>14</v>
      </c>
      <c r="C152" s="1">
        <v>45553</v>
      </c>
      <c r="D152" t="s">
        <v>15</v>
      </c>
      <c r="E152" t="s">
        <v>16</v>
      </c>
      <c r="F152">
        <v>1000</v>
      </c>
      <c r="G152">
        <v>978</v>
      </c>
      <c r="H152">
        <v>162</v>
      </c>
      <c r="I152">
        <v>6000</v>
      </c>
      <c r="J152">
        <v>5221</v>
      </c>
      <c r="K152">
        <v>223</v>
      </c>
      <c r="L152" t="s">
        <v>22</v>
      </c>
      <c r="M152" t="s">
        <v>32</v>
      </c>
      <c r="N152">
        <v>35.67</v>
      </c>
    </row>
    <row r="153" spans="1:14">
      <c r="A153" t="s">
        <v>140</v>
      </c>
      <c r="B153" t="s">
        <v>34</v>
      </c>
      <c r="C153" s="1">
        <v>45454</v>
      </c>
      <c r="D153" t="s">
        <v>40</v>
      </c>
      <c r="E153" t="s">
        <v>41</v>
      </c>
      <c r="F153">
        <v>3689</v>
      </c>
      <c r="G153">
        <v>48</v>
      </c>
      <c r="H153">
        <v>306</v>
      </c>
      <c r="I153">
        <v>40579</v>
      </c>
      <c r="J153">
        <v>39588</v>
      </c>
      <c r="K153">
        <v>212</v>
      </c>
      <c r="L153" t="s">
        <v>37</v>
      </c>
      <c r="M153" t="s">
        <v>18</v>
      </c>
      <c r="N153">
        <v>9.9600000000000009</v>
      </c>
    </row>
    <row r="154" spans="1:14">
      <c r="A154" t="s">
        <v>141</v>
      </c>
      <c r="B154" t="s">
        <v>25</v>
      </c>
      <c r="C154" s="1">
        <v>45739</v>
      </c>
      <c r="D154" t="s">
        <v>28</v>
      </c>
      <c r="E154" t="s">
        <v>29</v>
      </c>
      <c r="F154">
        <v>3655</v>
      </c>
      <c r="G154">
        <v>568</v>
      </c>
      <c r="H154">
        <v>286</v>
      </c>
      <c r="I154">
        <v>32895</v>
      </c>
      <c r="J154">
        <v>32015</v>
      </c>
      <c r="K154">
        <v>199</v>
      </c>
      <c r="L154" t="s">
        <v>37</v>
      </c>
      <c r="M154" t="s">
        <v>44</v>
      </c>
      <c r="N154">
        <v>13.71</v>
      </c>
    </row>
    <row r="155" spans="1:14">
      <c r="A155" t="s">
        <v>142</v>
      </c>
      <c r="B155" t="s">
        <v>27</v>
      </c>
      <c r="C155" s="1">
        <v>45457</v>
      </c>
      <c r="D155" t="s">
        <v>35</v>
      </c>
      <c r="E155" t="s">
        <v>36</v>
      </c>
      <c r="F155">
        <v>498</v>
      </c>
      <c r="G155">
        <v>38</v>
      </c>
      <c r="H155">
        <v>42</v>
      </c>
      <c r="I155">
        <v>4482</v>
      </c>
      <c r="J155">
        <v>3647</v>
      </c>
      <c r="K155">
        <v>32</v>
      </c>
      <c r="L155" t="s">
        <v>31</v>
      </c>
      <c r="M155" t="s">
        <v>44</v>
      </c>
      <c r="N155">
        <v>12.9</v>
      </c>
    </row>
    <row r="156" spans="1:14">
      <c r="A156" t="s">
        <v>142</v>
      </c>
      <c r="B156" t="s">
        <v>27</v>
      </c>
      <c r="C156" s="1">
        <v>45457</v>
      </c>
      <c r="D156" t="s">
        <v>35</v>
      </c>
      <c r="E156" t="s">
        <v>36</v>
      </c>
      <c r="F156">
        <v>498</v>
      </c>
      <c r="G156">
        <v>38</v>
      </c>
      <c r="H156">
        <v>42</v>
      </c>
      <c r="I156">
        <v>4482</v>
      </c>
      <c r="J156">
        <v>3647</v>
      </c>
      <c r="K156">
        <v>32</v>
      </c>
      <c r="L156" t="s">
        <v>52</v>
      </c>
      <c r="M156" t="s">
        <v>44</v>
      </c>
      <c r="N156">
        <v>12.9</v>
      </c>
    </row>
    <row r="157" spans="1:14">
      <c r="A157" t="s">
        <v>143</v>
      </c>
      <c r="B157" t="s">
        <v>27</v>
      </c>
      <c r="C157" s="1">
        <v>45692</v>
      </c>
      <c r="D157" t="s">
        <v>40</v>
      </c>
      <c r="E157" t="s">
        <v>41</v>
      </c>
      <c r="F157">
        <v>4619</v>
      </c>
      <c r="G157">
        <v>821</v>
      </c>
      <c r="H157">
        <v>499</v>
      </c>
      <c r="I157">
        <v>69285</v>
      </c>
      <c r="J157">
        <v>69141</v>
      </c>
      <c r="K157">
        <v>298</v>
      </c>
      <c r="L157" t="s">
        <v>22</v>
      </c>
      <c r="M157" t="s">
        <v>18</v>
      </c>
      <c r="N157">
        <v>8.57</v>
      </c>
    </row>
    <row r="158" spans="1:14">
      <c r="A158" t="s">
        <v>144</v>
      </c>
      <c r="B158" t="s">
        <v>25</v>
      </c>
      <c r="C158" s="1">
        <v>45464</v>
      </c>
      <c r="D158" t="s">
        <v>40</v>
      </c>
      <c r="E158" t="s">
        <v>41</v>
      </c>
      <c r="F158">
        <v>4832</v>
      </c>
      <c r="G158">
        <v>893</v>
      </c>
      <c r="H158">
        <v>10</v>
      </c>
      <c r="I158">
        <v>91808</v>
      </c>
      <c r="J158">
        <v>91296</v>
      </c>
      <c r="K158">
        <v>182</v>
      </c>
      <c r="L158" t="s">
        <v>17</v>
      </c>
      <c r="M158" t="s">
        <v>32</v>
      </c>
      <c r="N158">
        <v>6.25</v>
      </c>
    </row>
    <row r="159" spans="1:14">
      <c r="A159" t="s">
        <v>144</v>
      </c>
      <c r="B159" t="s">
        <v>25</v>
      </c>
      <c r="C159" s="1">
        <v>45464</v>
      </c>
      <c r="D159" t="s">
        <v>40</v>
      </c>
      <c r="E159" t="s">
        <v>41</v>
      </c>
      <c r="F159">
        <v>4832</v>
      </c>
      <c r="G159">
        <v>893</v>
      </c>
      <c r="H159">
        <v>10</v>
      </c>
      <c r="I159">
        <v>91808</v>
      </c>
      <c r="J159">
        <v>91296</v>
      </c>
      <c r="K159">
        <v>182</v>
      </c>
      <c r="L159" t="s">
        <v>31</v>
      </c>
      <c r="M159" t="s">
        <v>32</v>
      </c>
      <c r="N159">
        <v>6.25</v>
      </c>
    </row>
    <row r="160" spans="1:14">
      <c r="A160" t="s">
        <v>145</v>
      </c>
      <c r="B160" t="s">
        <v>14</v>
      </c>
      <c r="C160" s="1">
        <v>45741</v>
      </c>
      <c r="D160" t="s">
        <v>50</v>
      </c>
      <c r="E160" t="s">
        <v>51</v>
      </c>
      <c r="F160">
        <v>4050</v>
      </c>
      <c r="G160">
        <v>871</v>
      </c>
      <c r="H160">
        <v>347</v>
      </c>
      <c r="I160">
        <v>52650</v>
      </c>
      <c r="J160">
        <v>51755</v>
      </c>
      <c r="K160">
        <v>209</v>
      </c>
      <c r="L160" t="s">
        <v>31</v>
      </c>
      <c r="M160" t="s">
        <v>18</v>
      </c>
      <c r="N160">
        <v>10.01</v>
      </c>
    </row>
    <row r="161" spans="1:14">
      <c r="A161" t="s">
        <v>145</v>
      </c>
      <c r="B161" t="s">
        <v>14</v>
      </c>
      <c r="C161" s="1">
        <v>45741</v>
      </c>
      <c r="D161" t="s">
        <v>50</v>
      </c>
      <c r="E161" t="s">
        <v>51</v>
      </c>
      <c r="F161">
        <v>4050</v>
      </c>
      <c r="G161">
        <v>871</v>
      </c>
      <c r="H161">
        <v>347</v>
      </c>
      <c r="I161">
        <v>52650</v>
      </c>
      <c r="J161">
        <v>51755</v>
      </c>
      <c r="K161">
        <v>209</v>
      </c>
      <c r="L161" t="s">
        <v>52</v>
      </c>
      <c r="M161" t="s">
        <v>18</v>
      </c>
      <c r="N161">
        <v>10.01</v>
      </c>
    </row>
    <row r="162" spans="1:14">
      <c r="A162" t="s">
        <v>146</v>
      </c>
      <c r="B162" t="s">
        <v>14</v>
      </c>
      <c r="C162" s="1">
        <v>45512</v>
      </c>
      <c r="D162" t="s">
        <v>28</v>
      </c>
      <c r="E162" t="s">
        <v>29</v>
      </c>
      <c r="F162">
        <v>3649</v>
      </c>
      <c r="G162">
        <v>215</v>
      </c>
      <c r="H162">
        <v>413</v>
      </c>
      <c r="I162">
        <v>25543</v>
      </c>
      <c r="J162">
        <v>24963</v>
      </c>
      <c r="K162">
        <v>167</v>
      </c>
      <c r="L162" t="s">
        <v>22</v>
      </c>
      <c r="M162" t="s">
        <v>18</v>
      </c>
      <c r="N162">
        <v>16.739999999999998</v>
      </c>
    </row>
    <row r="163" spans="1:14">
      <c r="A163" t="s">
        <v>146</v>
      </c>
      <c r="B163" t="s">
        <v>14</v>
      </c>
      <c r="C163" s="1">
        <v>45512</v>
      </c>
      <c r="D163" t="s">
        <v>28</v>
      </c>
      <c r="E163" t="s">
        <v>29</v>
      </c>
      <c r="F163">
        <v>3649</v>
      </c>
      <c r="G163">
        <v>215</v>
      </c>
      <c r="H163">
        <v>413</v>
      </c>
      <c r="I163">
        <v>25543</v>
      </c>
      <c r="J163">
        <v>24963</v>
      </c>
      <c r="K163">
        <v>167</v>
      </c>
      <c r="L163" t="s">
        <v>31</v>
      </c>
      <c r="M163" t="s">
        <v>18</v>
      </c>
      <c r="N163">
        <v>16.739999999999998</v>
      </c>
    </row>
    <row r="164" spans="1:14">
      <c r="A164" t="s">
        <v>147</v>
      </c>
      <c r="B164" t="s">
        <v>27</v>
      </c>
      <c r="C164" s="1">
        <v>45502</v>
      </c>
      <c r="D164" t="s">
        <v>15</v>
      </c>
      <c r="E164" t="s">
        <v>16</v>
      </c>
      <c r="F164">
        <v>3523</v>
      </c>
      <c r="G164">
        <v>753</v>
      </c>
      <c r="H164">
        <v>482</v>
      </c>
      <c r="I164">
        <v>38753</v>
      </c>
      <c r="J164">
        <v>38579</v>
      </c>
      <c r="K164">
        <v>270</v>
      </c>
      <c r="L164" t="s">
        <v>52</v>
      </c>
      <c r="M164" t="s">
        <v>23</v>
      </c>
      <c r="N164">
        <v>12.28</v>
      </c>
    </row>
    <row r="165" spans="1:14">
      <c r="A165" t="s">
        <v>147</v>
      </c>
      <c r="B165" t="s">
        <v>27</v>
      </c>
      <c r="C165" s="1">
        <v>45502</v>
      </c>
      <c r="D165" t="s">
        <v>15</v>
      </c>
      <c r="E165" t="s">
        <v>16</v>
      </c>
      <c r="F165">
        <v>3523</v>
      </c>
      <c r="G165">
        <v>753</v>
      </c>
      <c r="H165">
        <v>482</v>
      </c>
      <c r="I165">
        <v>38753</v>
      </c>
      <c r="J165">
        <v>38579</v>
      </c>
      <c r="K165">
        <v>270</v>
      </c>
      <c r="L165" t="s">
        <v>31</v>
      </c>
      <c r="M165" t="s">
        <v>23</v>
      </c>
      <c r="N165">
        <v>12.28</v>
      </c>
    </row>
    <row r="166" spans="1:14">
      <c r="A166" t="s">
        <v>148</v>
      </c>
      <c r="B166" t="s">
        <v>25</v>
      </c>
      <c r="C166" s="1">
        <v>45619</v>
      </c>
      <c r="D166" t="s">
        <v>40</v>
      </c>
      <c r="E166" t="s">
        <v>41</v>
      </c>
      <c r="F166">
        <v>2719</v>
      </c>
      <c r="G166">
        <v>17</v>
      </c>
      <c r="H166">
        <v>285</v>
      </c>
      <c r="I166">
        <v>40785</v>
      </c>
      <c r="J166">
        <v>40281</v>
      </c>
      <c r="K166">
        <v>40</v>
      </c>
      <c r="L166" t="s">
        <v>22</v>
      </c>
      <c r="M166" t="s">
        <v>32</v>
      </c>
      <c r="N166">
        <v>7.41</v>
      </c>
    </row>
    <row r="167" spans="1:14">
      <c r="A167" t="s">
        <v>148</v>
      </c>
      <c r="B167" t="s">
        <v>25</v>
      </c>
      <c r="C167" s="1">
        <v>45619</v>
      </c>
      <c r="D167" t="s">
        <v>40</v>
      </c>
      <c r="E167" t="s">
        <v>41</v>
      </c>
      <c r="F167">
        <v>2719</v>
      </c>
      <c r="G167">
        <v>17</v>
      </c>
      <c r="H167">
        <v>285</v>
      </c>
      <c r="I167">
        <v>40785</v>
      </c>
      <c r="J167">
        <v>40281</v>
      </c>
      <c r="K167">
        <v>40</v>
      </c>
      <c r="L167" t="s">
        <v>31</v>
      </c>
      <c r="M167" t="s">
        <v>32</v>
      </c>
      <c r="N167">
        <v>7.41</v>
      </c>
    </row>
    <row r="168" spans="1:14">
      <c r="A168" t="s">
        <v>149</v>
      </c>
      <c r="B168" t="s">
        <v>14</v>
      </c>
      <c r="C168" s="1">
        <v>45570</v>
      </c>
      <c r="D168" t="s">
        <v>28</v>
      </c>
      <c r="E168" t="s">
        <v>29</v>
      </c>
      <c r="F168">
        <v>1957</v>
      </c>
      <c r="G168">
        <v>877</v>
      </c>
      <c r="H168">
        <v>238</v>
      </c>
      <c r="I168">
        <v>17613</v>
      </c>
      <c r="J168">
        <v>16865</v>
      </c>
      <c r="K168">
        <v>297</v>
      </c>
      <c r="L168" t="s">
        <v>22</v>
      </c>
      <c r="M168" t="s">
        <v>32</v>
      </c>
      <c r="N168">
        <v>17.440000000000001</v>
      </c>
    </row>
    <row r="169" spans="1:14">
      <c r="A169" t="s">
        <v>149</v>
      </c>
      <c r="B169" t="s">
        <v>14</v>
      </c>
      <c r="C169" s="1">
        <v>45570</v>
      </c>
      <c r="D169" t="s">
        <v>28</v>
      </c>
      <c r="E169" t="s">
        <v>29</v>
      </c>
      <c r="F169">
        <v>1957</v>
      </c>
      <c r="G169">
        <v>877</v>
      </c>
      <c r="H169">
        <v>238</v>
      </c>
      <c r="I169">
        <v>17613</v>
      </c>
      <c r="J169">
        <v>16865</v>
      </c>
      <c r="K169">
        <v>297</v>
      </c>
      <c r="L169" t="s">
        <v>17</v>
      </c>
      <c r="M169" t="s">
        <v>32</v>
      </c>
      <c r="N169">
        <v>17.440000000000001</v>
      </c>
    </row>
    <row r="170" spans="1:14">
      <c r="A170" t="s">
        <v>150</v>
      </c>
      <c r="B170" t="s">
        <v>14</v>
      </c>
      <c r="C170" s="1">
        <v>45567</v>
      </c>
      <c r="D170" t="s">
        <v>35</v>
      </c>
      <c r="E170" t="s">
        <v>36</v>
      </c>
      <c r="F170">
        <v>4419</v>
      </c>
      <c r="G170">
        <v>236</v>
      </c>
      <c r="H170">
        <v>369</v>
      </c>
      <c r="I170">
        <v>44190</v>
      </c>
      <c r="J170">
        <v>43582</v>
      </c>
      <c r="K170">
        <v>10</v>
      </c>
      <c r="L170" t="s">
        <v>37</v>
      </c>
      <c r="M170" t="s">
        <v>44</v>
      </c>
      <c r="N170">
        <v>11.37</v>
      </c>
    </row>
    <row r="171" spans="1:14">
      <c r="A171" t="s">
        <v>151</v>
      </c>
      <c r="B171" t="s">
        <v>14</v>
      </c>
      <c r="C171" s="1">
        <v>45610</v>
      </c>
      <c r="D171" t="s">
        <v>28</v>
      </c>
      <c r="E171" t="s">
        <v>29</v>
      </c>
      <c r="F171">
        <v>4000</v>
      </c>
      <c r="G171">
        <v>689</v>
      </c>
      <c r="H171">
        <v>488</v>
      </c>
      <c r="I171">
        <v>40000</v>
      </c>
      <c r="J171">
        <v>39569</v>
      </c>
      <c r="K171">
        <v>44</v>
      </c>
      <c r="L171" t="s">
        <v>52</v>
      </c>
      <c r="M171" t="s">
        <v>32</v>
      </c>
      <c r="N171">
        <v>12.94</v>
      </c>
    </row>
    <row r="172" spans="1:14">
      <c r="A172" t="s">
        <v>151</v>
      </c>
      <c r="B172" t="s">
        <v>14</v>
      </c>
      <c r="C172" s="1">
        <v>45610</v>
      </c>
      <c r="D172" t="s">
        <v>28</v>
      </c>
      <c r="E172" t="s">
        <v>29</v>
      </c>
      <c r="F172">
        <v>4000</v>
      </c>
      <c r="G172">
        <v>689</v>
      </c>
      <c r="H172">
        <v>488</v>
      </c>
      <c r="I172">
        <v>40000</v>
      </c>
      <c r="J172">
        <v>39569</v>
      </c>
      <c r="K172">
        <v>44</v>
      </c>
      <c r="L172" t="s">
        <v>22</v>
      </c>
      <c r="M172" t="s">
        <v>32</v>
      </c>
      <c r="N172">
        <v>12.94</v>
      </c>
    </row>
    <row r="173" spans="1:14">
      <c r="A173" t="s">
        <v>152</v>
      </c>
      <c r="B173" t="s">
        <v>14</v>
      </c>
      <c r="C173" s="1">
        <v>45788</v>
      </c>
      <c r="D173" t="s">
        <v>40</v>
      </c>
      <c r="E173" t="s">
        <v>41</v>
      </c>
      <c r="F173">
        <v>2493</v>
      </c>
      <c r="G173">
        <v>97</v>
      </c>
      <c r="H173">
        <v>44</v>
      </c>
      <c r="I173">
        <v>42381</v>
      </c>
      <c r="J173">
        <v>41991</v>
      </c>
      <c r="K173">
        <v>242</v>
      </c>
      <c r="L173" t="s">
        <v>17</v>
      </c>
      <c r="M173" t="s">
        <v>18</v>
      </c>
      <c r="N173">
        <v>6.22</v>
      </c>
    </row>
    <row r="174" spans="1:14">
      <c r="A174" t="s">
        <v>152</v>
      </c>
      <c r="B174" t="s">
        <v>14</v>
      </c>
      <c r="C174" s="1">
        <v>45788</v>
      </c>
      <c r="D174" t="s">
        <v>40</v>
      </c>
      <c r="E174" t="s">
        <v>41</v>
      </c>
      <c r="F174">
        <v>2493</v>
      </c>
      <c r="G174">
        <v>97</v>
      </c>
      <c r="H174">
        <v>44</v>
      </c>
      <c r="I174">
        <v>42381</v>
      </c>
      <c r="J174">
        <v>41991</v>
      </c>
      <c r="K174">
        <v>242</v>
      </c>
      <c r="L174" t="s">
        <v>31</v>
      </c>
      <c r="M174" t="s">
        <v>18</v>
      </c>
      <c r="N174">
        <v>6.22</v>
      </c>
    </row>
    <row r="175" spans="1:14">
      <c r="A175" t="s">
        <v>153</v>
      </c>
      <c r="B175" t="s">
        <v>25</v>
      </c>
      <c r="C175" s="1">
        <v>45734</v>
      </c>
      <c r="D175" t="s">
        <v>15</v>
      </c>
      <c r="E175" t="s">
        <v>16</v>
      </c>
      <c r="F175">
        <v>3704</v>
      </c>
      <c r="G175">
        <v>186</v>
      </c>
      <c r="H175">
        <v>458</v>
      </c>
      <c r="I175">
        <v>25928</v>
      </c>
      <c r="J175">
        <v>25081</v>
      </c>
      <c r="K175">
        <v>131</v>
      </c>
      <c r="L175" t="s">
        <v>31</v>
      </c>
      <c r="M175" t="s">
        <v>18</v>
      </c>
      <c r="N175">
        <v>16.77</v>
      </c>
    </row>
    <row r="176" spans="1:14">
      <c r="A176" t="s">
        <v>154</v>
      </c>
      <c r="B176" t="s">
        <v>14</v>
      </c>
      <c r="C176" s="1">
        <v>45600</v>
      </c>
      <c r="D176" t="s">
        <v>40</v>
      </c>
      <c r="E176" t="s">
        <v>41</v>
      </c>
      <c r="F176">
        <v>1606</v>
      </c>
      <c r="G176">
        <v>451</v>
      </c>
      <c r="H176">
        <v>405</v>
      </c>
      <c r="I176">
        <v>20878</v>
      </c>
      <c r="J176">
        <v>20190</v>
      </c>
      <c r="K176">
        <v>219</v>
      </c>
      <c r="L176" t="s">
        <v>17</v>
      </c>
      <c r="M176" t="s">
        <v>23</v>
      </c>
      <c r="N176">
        <v>11.79</v>
      </c>
    </row>
    <row r="177" spans="1:14">
      <c r="A177" t="s">
        <v>154</v>
      </c>
      <c r="B177" t="s">
        <v>14</v>
      </c>
      <c r="C177" s="1">
        <v>45600</v>
      </c>
      <c r="D177" t="s">
        <v>40</v>
      </c>
      <c r="E177" t="s">
        <v>41</v>
      </c>
      <c r="F177">
        <v>1606</v>
      </c>
      <c r="G177">
        <v>451</v>
      </c>
      <c r="H177">
        <v>405</v>
      </c>
      <c r="I177">
        <v>20878</v>
      </c>
      <c r="J177">
        <v>20190</v>
      </c>
      <c r="K177">
        <v>219</v>
      </c>
      <c r="L177" t="s">
        <v>31</v>
      </c>
      <c r="M177" t="s">
        <v>23</v>
      </c>
      <c r="N177">
        <v>11.79</v>
      </c>
    </row>
    <row r="178" spans="1:14">
      <c r="A178" t="s">
        <v>155</v>
      </c>
      <c r="B178" t="s">
        <v>34</v>
      </c>
      <c r="C178" s="1">
        <v>45600</v>
      </c>
      <c r="D178" t="s">
        <v>40</v>
      </c>
      <c r="E178" t="s">
        <v>41</v>
      </c>
      <c r="F178">
        <v>4551</v>
      </c>
      <c r="G178">
        <v>714</v>
      </c>
      <c r="H178">
        <v>207</v>
      </c>
      <c r="I178">
        <v>68265</v>
      </c>
      <c r="J178">
        <v>67754</v>
      </c>
      <c r="K178">
        <v>57</v>
      </c>
      <c r="L178" t="s">
        <v>37</v>
      </c>
      <c r="M178" t="s">
        <v>23</v>
      </c>
      <c r="N178">
        <v>8.02</v>
      </c>
    </row>
    <row r="179" spans="1:14">
      <c r="A179" t="s">
        <v>156</v>
      </c>
      <c r="B179" t="s">
        <v>27</v>
      </c>
      <c r="C179" s="1">
        <v>45695</v>
      </c>
      <c r="D179" t="s">
        <v>15</v>
      </c>
      <c r="E179" t="s">
        <v>16</v>
      </c>
      <c r="F179">
        <v>1970</v>
      </c>
      <c r="G179">
        <v>675</v>
      </c>
      <c r="H179">
        <v>478</v>
      </c>
      <c r="I179">
        <v>9850</v>
      </c>
      <c r="J179">
        <v>8924</v>
      </c>
      <c r="K179">
        <v>117</v>
      </c>
      <c r="L179" t="s">
        <v>37</v>
      </c>
      <c r="M179" t="s">
        <v>44</v>
      </c>
      <c r="N179">
        <v>31.71</v>
      </c>
    </row>
    <row r="180" spans="1:14">
      <c r="A180" t="s">
        <v>157</v>
      </c>
      <c r="B180" t="s">
        <v>34</v>
      </c>
      <c r="C180" s="1">
        <v>45586</v>
      </c>
      <c r="D180" t="s">
        <v>28</v>
      </c>
      <c r="E180" t="s">
        <v>29</v>
      </c>
      <c r="F180">
        <v>780</v>
      </c>
      <c r="G180">
        <v>928</v>
      </c>
      <c r="H180">
        <v>301</v>
      </c>
      <c r="I180">
        <v>8580</v>
      </c>
      <c r="J180">
        <v>8081</v>
      </c>
      <c r="K180">
        <v>91</v>
      </c>
      <c r="L180" t="s">
        <v>17</v>
      </c>
      <c r="M180" t="s">
        <v>44</v>
      </c>
      <c r="N180">
        <v>23.41</v>
      </c>
    </row>
    <row r="181" spans="1:14">
      <c r="A181" t="s">
        <v>157</v>
      </c>
      <c r="B181" t="s">
        <v>34</v>
      </c>
      <c r="C181" s="1">
        <v>45586</v>
      </c>
      <c r="D181" t="s">
        <v>28</v>
      </c>
      <c r="E181" t="s">
        <v>29</v>
      </c>
      <c r="F181">
        <v>780</v>
      </c>
      <c r="G181">
        <v>928</v>
      </c>
      <c r="H181">
        <v>301</v>
      </c>
      <c r="I181">
        <v>8580</v>
      </c>
      <c r="J181">
        <v>8081</v>
      </c>
      <c r="K181">
        <v>91</v>
      </c>
      <c r="L181" t="s">
        <v>22</v>
      </c>
      <c r="M181" t="s">
        <v>44</v>
      </c>
      <c r="N181">
        <v>23.41</v>
      </c>
    </row>
    <row r="182" spans="1:14">
      <c r="A182" t="s">
        <v>158</v>
      </c>
      <c r="B182" t="s">
        <v>27</v>
      </c>
      <c r="C182" s="1">
        <v>45502</v>
      </c>
      <c r="D182" t="s">
        <v>28</v>
      </c>
      <c r="E182" t="s">
        <v>29</v>
      </c>
      <c r="F182">
        <v>498</v>
      </c>
      <c r="G182">
        <v>701</v>
      </c>
      <c r="H182">
        <v>412</v>
      </c>
      <c r="I182">
        <v>4980</v>
      </c>
      <c r="J182">
        <v>4185</v>
      </c>
      <c r="K182">
        <v>185</v>
      </c>
      <c r="L182" t="s">
        <v>52</v>
      </c>
      <c r="M182" t="s">
        <v>44</v>
      </c>
      <c r="N182">
        <v>32.35</v>
      </c>
    </row>
    <row r="183" spans="1:14">
      <c r="A183" t="s">
        <v>158</v>
      </c>
      <c r="B183" t="s">
        <v>27</v>
      </c>
      <c r="C183" s="1">
        <v>45502</v>
      </c>
      <c r="D183" t="s">
        <v>28</v>
      </c>
      <c r="E183" t="s">
        <v>29</v>
      </c>
      <c r="F183">
        <v>498</v>
      </c>
      <c r="G183">
        <v>701</v>
      </c>
      <c r="H183">
        <v>412</v>
      </c>
      <c r="I183">
        <v>4980</v>
      </c>
      <c r="J183">
        <v>4185</v>
      </c>
      <c r="K183">
        <v>185</v>
      </c>
      <c r="L183" t="s">
        <v>31</v>
      </c>
      <c r="M183" t="s">
        <v>44</v>
      </c>
      <c r="N183">
        <v>32.35</v>
      </c>
    </row>
    <row r="184" spans="1:14">
      <c r="A184" t="s">
        <v>159</v>
      </c>
      <c r="B184" t="s">
        <v>27</v>
      </c>
      <c r="C184" s="1">
        <v>45567</v>
      </c>
      <c r="D184" t="s">
        <v>20</v>
      </c>
      <c r="E184" t="s">
        <v>21</v>
      </c>
      <c r="F184">
        <v>3432</v>
      </c>
      <c r="G184">
        <v>869</v>
      </c>
      <c r="H184">
        <v>123</v>
      </c>
      <c r="I184">
        <v>54912</v>
      </c>
      <c r="J184">
        <v>53916</v>
      </c>
      <c r="K184">
        <v>264</v>
      </c>
      <c r="L184" t="s">
        <v>22</v>
      </c>
      <c r="M184" t="s">
        <v>23</v>
      </c>
      <c r="N184">
        <v>8.06</v>
      </c>
    </row>
    <row r="185" spans="1:14">
      <c r="A185" t="s">
        <v>159</v>
      </c>
      <c r="B185" t="s">
        <v>27</v>
      </c>
      <c r="C185" s="1">
        <v>45567</v>
      </c>
      <c r="D185" t="s">
        <v>20</v>
      </c>
      <c r="E185" t="s">
        <v>21</v>
      </c>
      <c r="F185">
        <v>3432</v>
      </c>
      <c r="G185">
        <v>869</v>
      </c>
      <c r="H185">
        <v>123</v>
      </c>
      <c r="I185">
        <v>54912</v>
      </c>
      <c r="J185">
        <v>53916</v>
      </c>
      <c r="K185">
        <v>264</v>
      </c>
      <c r="L185" t="s">
        <v>37</v>
      </c>
      <c r="M185" t="s">
        <v>23</v>
      </c>
      <c r="N185">
        <v>8.06</v>
      </c>
    </row>
    <row r="186" spans="1:14">
      <c r="A186" t="s">
        <v>160</v>
      </c>
      <c r="B186" t="s">
        <v>27</v>
      </c>
      <c r="C186" s="1">
        <v>45457</v>
      </c>
      <c r="D186" t="s">
        <v>28</v>
      </c>
      <c r="E186" t="s">
        <v>29</v>
      </c>
      <c r="F186">
        <v>4363</v>
      </c>
      <c r="G186">
        <v>649</v>
      </c>
      <c r="H186">
        <v>140</v>
      </c>
      <c r="I186">
        <v>21815</v>
      </c>
      <c r="J186">
        <v>21481</v>
      </c>
      <c r="K186">
        <v>157</v>
      </c>
      <c r="L186" t="s">
        <v>17</v>
      </c>
      <c r="M186" t="s">
        <v>23</v>
      </c>
      <c r="N186">
        <v>23.62</v>
      </c>
    </row>
    <row r="187" spans="1:14">
      <c r="A187" t="s">
        <v>160</v>
      </c>
      <c r="B187" t="s">
        <v>27</v>
      </c>
      <c r="C187" s="1">
        <v>45457</v>
      </c>
      <c r="D187" t="s">
        <v>28</v>
      </c>
      <c r="E187" t="s">
        <v>29</v>
      </c>
      <c r="F187">
        <v>4363</v>
      </c>
      <c r="G187">
        <v>649</v>
      </c>
      <c r="H187">
        <v>140</v>
      </c>
      <c r="I187">
        <v>21815</v>
      </c>
      <c r="J187">
        <v>21481</v>
      </c>
      <c r="K187">
        <v>157</v>
      </c>
      <c r="L187" t="s">
        <v>22</v>
      </c>
      <c r="M187" t="s">
        <v>23</v>
      </c>
      <c r="N187">
        <v>23.62</v>
      </c>
    </row>
    <row r="188" spans="1:14">
      <c r="A188" t="s">
        <v>161</v>
      </c>
      <c r="B188" t="s">
        <v>25</v>
      </c>
      <c r="C188" s="1">
        <v>45753</v>
      </c>
      <c r="D188" t="s">
        <v>35</v>
      </c>
      <c r="E188" t="s">
        <v>36</v>
      </c>
      <c r="F188">
        <v>736</v>
      </c>
      <c r="G188">
        <v>771</v>
      </c>
      <c r="H188">
        <v>225</v>
      </c>
      <c r="I188">
        <v>5152</v>
      </c>
      <c r="J188">
        <v>4706</v>
      </c>
      <c r="K188">
        <v>19</v>
      </c>
      <c r="L188" t="s">
        <v>31</v>
      </c>
      <c r="M188" t="s">
        <v>32</v>
      </c>
      <c r="N188">
        <v>33.619999999999997</v>
      </c>
    </row>
    <row r="189" spans="1:14">
      <c r="A189" t="s">
        <v>162</v>
      </c>
      <c r="B189" t="s">
        <v>14</v>
      </c>
      <c r="C189" s="1">
        <v>45543</v>
      </c>
      <c r="D189" t="s">
        <v>35</v>
      </c>
      <c r="E189" t="s">
        <v>36</v>
      </c>
      <c r="F189">
        <v>3811</v>
      </c>
      <c r="G189">
        <v>866</v>
      </c>
      <c r="H189">
        <v>216</v>
      </c>
      <c r="I189">
        <v>34299</v>
      </c>
      <c r="J189">
        <v>34088</v>
      </c>
      <c r="K189">
        <v>233</v>
      </c>
      <c r="L189" t="s">
        <v>31</v>
      </c>
      <c r="M189" t="s">
        <v>32</v>
      </c>
      <c r="N189">
        <v>14.27</v>
      </c>
    </row>
    <row r="190" spans="1:14">
      <c r="A190" t="s">
        <v>163</v>
      </c>
      <c r="B190" t="s">
        <v>27</v>
      </c>
      <c r="C190" s="1">
        <v>45744</v>
      </c>
      <c r="D190" t="s">
        <v>35</v>
      </c>
      <c r="E190" t="s">
        <v>36</v>
      </c>
      <c r="F190">
        <v>4158</v>
      </c>
      <c r="G190">
        <v>167</v>
      </c>
      <c r="H190">
        <v>241</v>
      </c>
      <c r="I190">
        <v>45738</v>
      </c>
      <c r="J190">
        <v>45183</v>
      </c>
      <c r="K190">
        <v>142</v>
      </c>
      <c r="L190" t="s">
        <v>22</v>
      </c>
      <c r="M190" t="s">
        <v>23</v>
      </c>
      <c r="N190">
        <v>9.98</v>
      </c>
    </row>
    <row r="191" spans="1:14">
      <c r="A191" t="s">
        <v>164</v>
      </c>
      <c r="B191" t="s">
        <v>34</v>
      </c>
      <c r="C191" s="1">
        <v>45684</v>
      </c>
      <c r="D191" t="s">
        <v>15</v>
      </c>
      <c r="E191" t="s">
        <v>16</v>
      </c>
      <c r="F191">
        <v>3452</v>
      </c>
      <c r="G191">
        <v>652</v>
      </c>
      <c r="H191">
        <v>442</v>
      </c>
      <c r="I191">
        <v>65588</v>
      </c>
      <c r="J191">
        <v>65049</v>
      </c>
      <c r="K191">
        <v>158</v>
      </c>
      <c r="L191" t="s">
        <v>17</v>
      </c>
      <c r="M191" t="s">
        <v>18</v>
      </c>
      <c r="N191">
        <v>6.93</v>
      </c>
    </row>
    <row r="192" spans="1:14">
      <c r="A192" t="s">
        <v>164</v>
      </c>
      <c r="B192" t="s">
        <v>34</v>
      </c>
      <c r="C192" s="1">
        <v>45684</v>
      </c>
      <c r="D192" t="s">
        <v>15</v>
      </c>
      <c r="E192" t="s">
        <v>16</v>
      </c>
      <c r="F192">
        <v>3452</v>
      </c>
      <c r="G192">
        <v>652</v>
      </c>
      <c r="H192">
        <v>442</v>
      </c>
      <c r="I192">
        <v>65588</v>
      </c>
      <c r="J192">
        <v>65049</v>
      </c>
      <c r="K192">
        <v>158</v>
      </c>
      <c r="L192" t="s">
        <v>31</v>
      </c>
      <c r="M192" t="s">
        <v>18</v>
      </c>
      <c r="N192">
        <v>6.93</v>
      </c>
    </row>
    <row r="193" spans="1:14">
      <c r="A193" t="s">
        <v>165</v>
      </c>
      <c r="B193" t="s">
        <v>14</v>
      </c>
      <c r="C193" s="1">
        <v>45667</v>
      </c>
      <c r="D193" t="s">
        <v>40</v>
      </c>
      <c r="E193" t="s">
        <v>41</v>
      </c>
      <c r="F193">
        <v>3092</v>
      </c>
      <c r="G193">
        <v>106</v>
      </c>
      <c r="H193">
        <v>291</v>
      </c>
      <c r="I193">
        <v>27828</v>
      </c>
      <c r="J193">
        <v>27217</v>
      </c>
      <c r="K193">
        <v>102</v>
      </c>
      <c r="L193" t="s">
        <v>31</v>
      </c>
      <c r="M193" t="s">
        <v>44</v>
      </c>
      <c r="N193">
        <v>12.54</v>
      </c>
    </row>
    <row r="194" spans="1:14">
      <c r="A194" t="s">
        <v>166</v>
      </c>
      <c r="B194" t="s">
        <v>14</v>
      </c>
      <c r="C194" s="1">
        <v>45494</v>
      </c>
      <c r="D194" t="s">
        <v>20</v>
      </c>
      <c r="E194" t="s">
        <v>21</v>
      </c>
      <c r="F194">
        <v>2147</v>
      </c>
      <c r="G194">
        <v>430</v>
      </c>
      <c r="H194">
        <v>393</v>
      </c>
      <c r="I194">
        <v>17176</v>
      </c>
      <c r="J194">
        <v>16483</v>
      </c>
      <c r="K194">
        <v>170</v>
      </c>
      <c r="L194" t="s">
        <v>52</v>
      </c>
      <c r="M194" t="s">
        <v>44</v>
      </c>
      <c r="N194">
        <v>17.29</v>
      </c>
    </row>
    <row r="195" spans="1:14">
      <c r="A195" t="s">
        <v>167</v>
      </c>
      <c r="B195" t="s">
        <v>25</v>
      </c>
      <c r="C195" s="1">
        <v>45564</v>
      </c>
      <c r="D195" t="s">
        <v>15</v>
      </c>
      <c r="E195" t="s">
        <v>16</v>
      </c>
      <c r="F195">
        <v>2936</v>
      </c>
      <c r="G195">
        <v>439</v>
      </c>
      <c r="H195">
        <v>44</v>
      </c>
      <c r="I195">
        <v>38168</v>
      </c>
      <c r="J195">
        <v>37571</v>
      </c>
      <c r="K195">
        <v>22</v>
      </c>
      <c r="L195" t="s">
        <v>17</v>
      </c>
      <c r="M195" t="s">
        <v>32</v>
      </c>
      <c r="N195">
        <v>8.9600000000000009</v>
      </c>
    </row>
    <row r="196" spans="1:14">
      <c r="A196" t="s">
        <v>168</v>
      </c>
      <c r="B196" t="s">
        <v>27</v>
      </c>
      <c r="C196" s="1">
        <v>45586</v>
      </c>
      <c r="D196" t="s">
        <v>15</v>
      </c>
      <c r="E196" t="s">
        <v>16</v>
      </c>
      <c r="F196">
        <v>4840</v>
      </c>
      <c r="G196">
        <v>658</v>
      </c>
      <c r="H196">
        <v>211</v>
      </c>
      <c r="I196">
        <v>43560</v>
      </c>
      <c r="J196">
        <v>43225</v>
      </c>
      <c r="K196">
        <v>57</v>
      </c>
      <c r="L196" t="s">
        <v>17</v>
      </c>
      <c r="M196" t="s">
        <v>23</v>
      </c>
      <c r="N196">
        <v>13.11</v>
      </c>
    </row>
    <row r="197" spans="1:14">
      <c r="A197" t="s">
        <v>168</v>
      </c>
      <c r="B197" t="s">
        <v>27</v>
      </c>
      <c r="C197" s="1">
        <v>45586</v>
      </c>
      <c r="D197" t="s">
        <v>15</v>
      </c>
      <c r="E197" t="s">
        <v>16</v>
      </c>
      <c r="F197">
        <v>4840</v>
      </c>
      <c r="G197">
        <v>658</v>
      </c>
      <c r="H197">
        <v>211</v>
      </c>
      <c r="I197">
        <v>43560</v>
      </c>
      <c r="J197">
        <v>43225</v>
      </c>
      <c r="K197">
        <v>57</v>
      </c>
      <c r="L197" t="s">
        <v>22</v>
      </c>
      <c r="M197" t="s">
        <v>23</v>
      </c>
      <c r="N197">
        <v>13.11</v>
      </c>
    </row>
    <row r="198" spans="1:14">
      <c r="A198" t="s">
        <v>169</v>
      </c>
      <c r="B198" t="s">
        <v>27</v>
      </c>
      <c r="C198" s="1">
        <v>45720</v>
      </c>
      <c r="D198" t="s">
        <v>28</v>
      </c>
      <c r="E198" t="s">
        <v>29</v>
      </c>
      <c r="F198">
        <v>1947</v>
      </c>
      <c r="G198">
        <v>842</v>
      </c>
      <c r="H198">
        <v>101</v>
      </c>
      <c r="I198">
        <v>21417</v>
      </c>
      <c r="J198">
        <v>20967</v>
      </c>
      <c r="K198">
        <v>186</v>
      </c>
      <c r="L198" t="s">
        <v>22</v>
      </c>
      <c r="M198" t="s">
        <v>23</v>
      </c>
      <c r="N198">
        <v>13.49</v>
      </c>
    </row>
    <row r="199" spans="1:14">
      <c r="A199" t="s">
        <v>170</v>
      </c>
      <c r="B199" t="s">
        <v>34</v>
      </c>
      <c r="C199" s="1">
        <v>45694</v>
      </c>
      <c r="D199" t="s">
        <v>40</v>
      </c>
      <c r="E199" t="s">
        <v>41</v>
      </c>
      <c r="F199">
        <v>2072</v>
      </c>
      <c r="G199">
        <v>532</v>
      </c>
      <c r="H199">
        <v>71</v>
      </c>
      <c r="I199">
        <v>37296</v>
      </c>
      <c r="J199">
        <v>36467</v>
      </c>
      <c r="K199">
        <v>25</v>
      </c>
      <c r="L199" t="s">
        <v>17</v>
      </c>
      <c r="M199" t="s">
        <v>32</v>
      </c>
      <c r="N199">
        <v>7.17</v>
      </c>
    </row>
    <row r="200" spans="1:14">
      <c r="A200" t="s">
        <v>171</v>
      </c>
      <c r="B200" t="s">
        <v>14</v>
      </c>
      <c r="C200" s="1">
        <v>45771</v>
      </c>
      <c r="D200" t="s">
        <v>15</v>
      </c>
      <c r="E200" t="s">
        <v>16</v>
      </c>
      <c r="F200">
        <v>3731</v>
      </c>
      <c r="G200">
        <v>115</v>
      </c>
      <c r="H200">
        <v>135</v>
      </c>
      <c r="I200">
        <v>55965</v>
      </c>
      <c r="J200">
        <v>55436</v>
      </c>
      <c r="K200">
        <v>103</v>
      </c>
      <c r="L200" t="s">
        <v>52</v>
      </c>
      <c r="M200" t="s">
        <v>44</v>
      </c>
      <c r="N200">
        <v>7.11</v>
      </c>
    </row>
    <row r="201" spans="1:14">
      <c r="A201" t="s">
        <v>172</v>
      </c>
      <c r="B201" t="s">
        <v>34</v>
      </c>
      <c r="C201" s="1">
        <v>45624</v>
      </c>
      <c r="D201" t="s">
        <v>20</v>
      </c>
      <c r="E201" t="s">
        <v>21</v>
      </c>
      <c r="F201">
        <v>4213</v>
      </c>
      <c r="G201">
        <v>253</v>
      </c>
      <c r="H201">
        <v>434</v>
      </c>
      <c r="I201">
        <v>75834</v>
      </c>
      <c r="J201">
        <v>75437</v>
      </c>
      <c r="K201">
        <v>272</v>
      </c>
      <c r="L201" t="s">
        <v>37</v>
      </c>
      <c r="M201" t="s">
        <v>32</v>
      </c>
      <c r="N201">
        <v>6.46</v>
      </c>
    </row>
    <row r="202" spans="1:14">
      <c r="A202" t="s">
        <v>173</v>
      </c>
      <c r="B202" t="s">
        <v>27</v>
      </c>
      <c r="C202" s="1">
        <v>45484</v>
      </c>
      <c r="D202" t="s">
        <v>20</v>
      </c>
      <c r="E202" t="s">
        <v>21</v>
      </c>
      <c r="F202">
        <v>3134</v>
      </c>
      <c r="G202">
        <v>888</v>
      </c>
      <c r="H202">
        <v>444</v>
      </c>
      <c r="I202">
        <v>21938</v>
      </c>
      <c r="J202">
        <v>21337</v>
      </c>
      <c r="K202">
        <v>130</v>
      </c>
      <c r="L202" t="s">
        <v>17</v>
      </c>
      <c r="M202" t="s">
        <v>44</v>
      </c>
      <c r="N202">
        <v>20.36</v>
      </c>
    </row>
    <row r="203" spans="1:14">
      <c r="A203" t="s">
        <v>173</v>
      </c>
      <c r="B203" t="s">
        <v>27</v>
      </c>
      <c r="C203" s="1">
        <v>45484</v>
      </c>
      <c r="D203" t="s">
        <v>20</v>
      </c>
      <c r="E203" t="s">
        <v>21</v>
      </c>
      <c r="F203">
        <v>3134</v>
      </c>
      <c r="G203">
        <v>888</v>
      </c>
      <c r="H203">
        <v>444</v>
      </c>
      <c r="I203">
        <v>21938</v>
      </c>
      <c r="J203">
        <v>21337</v>
      </c>
      <c r="K203">
        <v>130</v>
      </c>
      <c r="L203" t="s">
        <v>22</v>
      </c>
      <c r="M203" t="s">
        <v>44</v>
      </c>
      <c r="N203">
        <v>20.36</v>
      </c>
    </row>
    <row r="204" spans="1:14">
      <c r="A204" t="s">
        <v>174</v>
      </c>
      <c r="B204" t="s">
        <v>34</v>
      </c>
      <c r="C204" s="1">
        <v>45504</v>
      </c>
      <c r="D204" t="s">
        <v>50</v>
      </c>
      <c r="E204" t="s">
        <v>51</v>
      </c>
      <c r="F204">
        <v>3008</v>
      </c>
      <c r="G204">
        <v>94</v>
      </c>
      <c r="H204">
        <v>37</v>
      </c>
      <c r="I204">
        <v>15040</v>
      </c>
      <c r="J204">
        <v>14639</v>
      </c>
      <c r="K204">
        <v>277</v>
      </c>
      <c r="L204" t="s">
        <v>52</v>
      </c>
      <c r="M204" t="s">
        <v>18</v>
      </c>
      <c r="N204">
        <v>20.87</v>
      </c>
    </row>
    <row r="205" spans="1:14">
      <c r="A205" t="s">
        <v>175</v>
      </c>
      <c r="B205" t="s">
        <v>14</v>
      </c>
      <c r="C205" s="1">
        <v>45745</v>
      </c>
      <c r="D205" t="s">
        <v>40</v>
      </c>
      <c r="E205" t="s">
        <v>41</v>
      </c>
      <c r="F205">
        <v>305</v>
      </c>
      <c r="G205">
        <v>187</v>
      </c>
      <c r="H205">
        <v>243</v>
      </c>
      <c r="I205">
        <v>4575</v>
      </c>
      <c r="J205">
        <v>3704</v>
      </c>
      <c r="K205">
        <v>234</v>
      </c>
      <c r="L205" t="s">
        <v>22</v>
      </c>
      <c r="M205" t="s">
        <v>44</v>
      </c>
      <c r="N205">
        <v>16.07</v>
      </c>
    </row>
    <row r="206" spans="1:14">
      <c r="A206" t="s">
        <v>175</v>
      </c>
      <c r="B206" t="s">
        <v>14</v>
      </c>
      <c r="C206" s="1">
        <v>45745</v>
      </c>
      <c r="D206" t="s">
        <v>40</v>
      </c>
      <c r="E206" t="s">
        <v>41</v>
      </c>
      <c r="F206">
        <v>305</v>
      </c>
      <c r="G206">
        <v>187</v>
      </c>
      <c r="H206">
        <v>243</v>
      </c>
      <c r="I206">
        <v>4575</v>
      </c>
      <c r="J206">
        <v>3704</v>
      </c>
      <c r="K206">
        <v>234</v>
      </c>
      <c r="L206" t="s">
        <v>37</v>
      </c>
      <c r="M206" t="s">
        <v>44</v>
      </c>
      <c r="N206">
        <v>16.07</v>
      </c>
    </row>
    <row r="207" spans="1:14">
      <c r="A207" t="s">
        <v>176</v>
      </c>
      <c r="B207" t="s">
        <v>25</v>
      </c>
      <c r="C207" s="1">
        <v>45594</v>
      </c>
      <c r="D207" t="s">
        <v>20</v>
      </c>
      <c r="E207" t="s">
        <v>21</v>
      </c>
      <c r="F207">
        <v>2746</v>
      </c>
      <c r="G207">
        <v>156</v>
      </c>
      <c r="H207">
        <v>203</v>
      </c>
      <c r="I207">
        <v>32952</v>
      </c>
      <c r="J207">
        <v>32147</v>
      </c>
      <c r="K207">
        <v>147</v>
      </c>
      <c r="L207" t="s">
        <v>22</v>
      </c>
      <c r="M207" t="s">
        <v>23</v>
      </c>
      <c r="N207">
        <v>9.42</v>
      </c>
    </row>
    <row r="208" spans="1:14">
      <c r="A208" t="s">
        <v>176</v>
      </c>
      <c r="B208" t="s">
        <v>25</v>
      </c>
      <c r="C208" s="1">
        <v>45594</v>
      </c>
      <c r="D208" t="s">
        <v>20</v>
      </c>
      <c r="E208" t="s">
        <v>21</v>
      </c>
      <c r="F208">
        <v>2746</v>
      </c>
      <c r="G208">
        <v>156</v>
      </c>
      <c r="H208">
        <v>203</v>
      </c>
      <c r="I208">
        <v>32952</v>
      </c>
      <c r="J208">
        <v>32147</v>
      </c>
      <c r="K208">
        <v>147</v>
      </c>
      <c r="L208" t="s">
        <v>31</v>
      </c>
      <c r="M208" t="s">
        <v>23</v>
      </c>
      <c r="N208">
        <v>9.42</v>
      </c>
    </row>
    <row r="209" spans="1:14">
      <c r="A209" t="s">
        <v>177</v>
      </c>
      <c r="B209" t="s">
        <v>34</v>
      </c>
      <c r="C209" s="1">
        <v>45488</v>
      </c>
      <c r="D209" t="s">
        <v>40</v>
      </c>
      <c r="E209" t="s">
        <v>41</v>
      </c>
      <c r="F209">
        <v>2291</v>
      </c>
      <c r="G209">
        <v>78</v>
      </c>
      <c r="H209">
        <v>485</v>
      </c>
      <c r="I209">
        <v>18328</v>
      </c>
      <c r="J209">
        <v>18101</v>
      </c>
      <c r="K209">
        <v>10</v>
      </c>
      <c r="L209" t="s">
        <v>52</v>
      </c>
      <c r="M209" t="s">
        <v>18</v>
      </c>
      <c r="N209">
        <v>15.57</v>
      </c>
    </row>
    <row r="210" spans="1:14">
      <c r="A210" t="s">
        <v>178</v>
      </c>
      <c r="B210" t="s">
        <v>14</v>
      </c>
      <c r="C210" s="1">
        <v>45535</v>
      </c>
      <c r="D210" t="s">
        <v>40</v>
      </c>
      <c r="E210" t="s">
        <v>41</v>
      </c>
      <c r="F210">
        <v>3170</v>
      </c>
      <c r="G210">
        <v>857</v>
      </c>
      <c r="H210">
        <v>379</v>
      </c>
      <c r="I210">
        <v>19020</v>
      </c>
      <c r="J210">
        <v>18559</v>
      </c>
      <c r="K210">
        <v>240</v>
      </c>
      <c r="L210" t="s">
        <v>17</v>
      </c>
      <c r="M210" t="s">
        <v>32</v>
      </c>
      <c r="N210">
        <v>23.17</v>
      </c>
    </row>
    <row r="211" spans="1:14">
      <c r="A211" t="s">
        <v>179</v>
      </c>
      <c r="B211" t="s">
        <v>25</v>
      </c>
      <c r="C211" s="1">
        <v>45741</v>
      </c>
      <c r="D211" t="s">
        <v>28</v>
      </c>
      <c r="E211" t="s">
        <v>29</v>
      </c>
      <c r="F211">
        <v>2070</v>
      </c>
      <c r="G211">
        <v>275</v>
      </c>
      <c r="H211">
        <v>386</v>
      </c>
      <c r="I211">
        <v>39330</v>
      </c>
      <c r="J211">
        <v>38627</v>
      </c>
      <c r="K211">
        <v>114</v>
      </c>
      <c r="L211" t="s">
        <v>17</v>
      </c>
      <c r="M211" t="s">
        <v>44</v>
      </c>
      <c r="N211">
        <v>6.94</v>
      </c>
    </row>
    <row r="212" spans="1:14">
      <c r="A212" t="s">
        <v>180</v>
      </c>
      <c r="B212" t="s">
        <v>25</v>
      </c>
      <c r="C212" s="1">
        <v>45567</v>
      </c>
      <c r="D212" t="s">
        <v>35</v>
      </c>
      <c r="E212" t="s">
        <v>36</v>
      </c>
      <c r="F212">
        <v>80</v>
      </c>
      <c r="G212">
        <v>362</v>
      </c>
      <c r="H212">
        <v>80</v>
      </c>
      <c r="I212">
        <v>1040</v>
      </c>
      <c r="J212">
        <v>349</v>
      </c>
      <c r="K212">
        <v>117</v>
      </c>
      <c r="L212" t="s">
        <v>22</v>
      </c>
      <c r="M212" t="s">
        <v>23</v>
      </c>
      <c r="N212">
        <v>50.19</v>
      </c>
    </row>
    <row r="213" spans="1:14">
      <c r="A213" t="s">
        <v>180</v>
      </c>
      <c r="B213" t="s">
        <v>25</v>
      </c>
      <c r="C213" s="1">
        <v>45567</v>
      </c>
      <c r="D213" t="s">
        <v>35</v>
      </c>
      <c r="E213" t="s">
        <v>36</v>
      </c>
      <c r="F213">
        <v>80</v>
      </c>
      <c r="G213">
        <v>362</v>
      </c>
      <c r="H213">
        <v>80</v>
      </c>
      <c r="I213">
        <v>1040</v>
      </c>
      <c r="J213">
        <v>349</v>
      </c>
      <c r="K213">
        <v>117</v>
      </c>
      <c r="L213" t="s">
        <v>31</v>
      </c>
      <c r="M213" t="s">
        <v>23</v>
      </c>
      <c r="N213">
        <v>50.19</v>
      </c>
    </row>
    <row r="214" spans="1:14">
      <c r="A214" t="s">
        <v>181</v>
      </c>
      <c r="B214" t="s">
        <v>25</v>
      </c>
      <c r="C214" s="1">
        <v>45593</v>
      </c>
      <c r="D214" t="s">
        <v>28</v>
      </c>
      <c r="E214" t="s">
        <v>29</v>
      </c>
      <c r="F214">
        <v>4929</v>
      </c>
      <c r="G214">
        <v>749</v>
      </c>
      <c r="H214">
        <v>452</v>
      </c>
      <c r="I214">
        <v>93651</v>
      </c>
      <c r="J214">
        <v>92810</v>
      </c>
      <c r="K214">
        <v>66</v>
      </c>
      <c r="L214" t="s">
        <v>37</v>
      </c>
      <c r="M214" t="s">
        <v>18</v>
      </c>
      <c r="N214">
        <v>6.55</v>
      </c>
    </row>
    <row r="215" spans="1:14">
      <c r="A215" t="s">
        <v>181</v>
      </c>
      <c r="B215" t="s">
        <v>25</v>
      </c>
      <c r="C215" s="1">
        <v>45593</v>
      </c>
      <c r="D215" t="s">
        <v>28</v>
      </c>
      <c r="E215" t="s">
        <v>29</v>
      </c>
      <c r="F215">
        <v>4929</v>
      </c>
      <c r="G215">
        <v>749</v>
      </c>
      <c r="H215">
        <v>452</v>
      </c>
      <c r="I215">
        <v>93651</v>
      </c>
      <c r="J215">
        <v>92810</v>
      </c>
      <c r="K215">
        <v>66</v>
      </c>
      <c r="L215" t="s">
        <v>31</v>
      </c>
      <c r="M215" t="s">
        <v>18</v>
      </c>
      <c r="N215">
        <v>6.55</v>
      </c>
    </row>
    <row r="216" spans="1:14">
      <c r="A216" t="s">
        <v>182</v>
      </c>
      <c r="B216" t="s">
        <v>27</v>
      </c>
      <c r="C216" s="1">
        <v>45516</v>
      </c>
      <c r="D216" t="s">
        <v>35</v>
      </c>
      <c r="E216" t="s">
        <v>36</v>
      </c>
      <c r="F216">
        <v>1878</v>
      </c>
      <c r="G216">
        <v>62</v>
      </c>
      <c r="H216">
        <v>179</v>
      </c>
      <c r="I216">
        <v>37560</v>
      </c>
      <c r="J216">
        <v>36874</v>
      </c>
      <c r="K216">
        <v>142</v>
      </c>
      <c r="L216" t="s">
        <v>52</v>
      </c>
      <c r="M216" t="s">
        <v>18</v>
      </c>
      <c r="N216">
        <v>5.64</v>
      </c>
    </row>
    <row r="217" spans="1:14">
      <c r="A217" t="s">
        <v>182</v>
      </c>
      <c r="B217" t="s">
        <v>27</v>
      </c>
      <c r="C217" s="1">
        <v>45516</v>
      </c>
      <c r="D217" t="s">
        <v>35</v>
      </c>
      <c r="E217" t="s">
        <v>36</v>
      </c>
      <c r="F217">
        <v>1878</v>
      </c>
      <c r="G217">
        <v>62</v>
      </c>
      <c r="H217">
        <v>179</v>
      </c>
      <c r="I217">
        <v>37560</v>
      </c>
      <c r="J217">
        <v>36874</v>
      </c>
      <c r="K217">
        <v>142</v>
      </c>
      <c r="L217" t="s">
        <v>37</v>
      </c>
      <c r="M217" t="s">
        <v>18</v>
      </c>
      <c r="N217">
        <v>5.64</v>
      </c>
    </row>
    <row r="218" spans="1:14">
      <c r="A218" t="s">
        <v>183</v>
      </c>
      <c r="B218" t="s">
        <v>25</v>
      </c>
      <c r="C218" s="1">
        <v>45448</v>
      </c>
      <c r="D218" t="s">
        <v>15</v>
      </c>
      <c r="E218" t="s">
        <v>16</v>
      </c>
      <c r="F218">
        <v>3065</v>
      </c>
      <c r="G218">
        <v>772</v>
      </c>
      <c r="H218">
        <v>142</v>
      </c>
      <c r="I218">
        <v>18390</v>
      </c>
      <c r="J218">
        <v>17875</v>
      </c>
      <c r="K218">
        <v>200</v>
      </c>
      <c r="L218" t="s">
        <v>31</v>
      </c>
      <c r="M218" t="s">
        <v>18</v>
      </c>
      <c r="N218">
        <v>21.64</v>
      </c>
    </row>
    <row r="219" spans="1:14">
      <c r="A219" t="s">
        <v>184</v>
      </c>
      <c r="B219" t="s">
        <v>27</v>
      </c>
      <c r="C219" s="1">
        <v>45586</v>
      </c>
      <c r="D219" t="s">
        <v>15</v>
      </c>
      <c r="E219" t="s">
        <v>16</v>
      </c>
      <c r="F219">
        <v>3256</v>
      </c>
      <c r="G219">
        <v>459</v>
      </c>
      <c r="H219">
        <v>266</v>
      </c>
      <c r="I219">
        <v>26048</v>
      </c>
      <c r="J219">
        <v>25529</v>
      </c>
      <c r="K219">
        <v>143</v>
      </c>
      <c r="L219" t="s">
        <v>17</v>
      </c>
      <c r="M219" t="s">
        <v>32</v>
      </c>
      <c r="N219">
        <v>15.28</v>
      </c>
    </row>
    <row r="220" spans="1:14">
      <c r="A220" t="s">
        <v>184</v>
      </c>
      <c r="B220" t="s">
        <v>27</v>
      </c>
      <c r="C220" s="1">
        <v>45586</v>
      </c>
      <c r="D220" t="s">
        <v>15</v>
      </c>
      <c r="E220" t="s">
        <v>16</v>
      </c>
      <c r="F220">
        <v>3256</v>
      </c>
      <c r="G220">
        <v>459</v>
      </c>
      <c r="H220">
        <v>266</v>
      </c>
      <c r="I220">
        <v>26048</v>
      </c>
      <c r="J220">
        <v>25529</v>
      </c>
      <c r="K220">
        <v>143</v>
      </c>
      <c r="L220" t="s">
        <v>31</v>
      </c>
      <c r="M220" t="s">
        <v>32</v>
      </c>
      <c r="N220">
        <v>15.28</v>
      </c>
    </row>
    <row r="221" spans="1:14">
      <c r="A221" t="s">
        <v>185</v>
      </c>
      <c r="B221" t="s">
        <v>27</v>
      </c>
      <c r="C221" s="1">
        <v>45762</v>
      </c>
      <c r="D221" t="s">
        <v>50</v>
      </c>
      <c r="E221" t="s">
        <v>51</v>
      </c>
      <c r="F221">
        <v>4133</v>
      </c>
      <c r="G221">
        <v>466</v>
      </c>
      <c r="H221">
        <v>327</v>
      </c>
      <c r="I221">
        <v>24798</v>
      </c>
      <c r="J221">
        <v>24620</v>
      </c>
      <c r="K221">
        <v>176</v>
      </c>
      <c r="L221" t="s">
        <v>31</v>
      </c>
      <c r="M221" t="s">
        <v>23</v>
      </c>
      <c r="N221">
        <v>19.86</v>
      </c>
    </row>
    <row r="222" spans="1:14">
      <c r="A222" t="s">
        <v>186</v>
      </c>
      <c r="B222" t="s">
        <v>14</v>
      </c>
      <c r="C222" s="1">
        <v>45459</v>
      </c>
      <c r="D222" t="s">
        <v>50</v>
      </c>
      <c r="E222" t="s">
        <v>51</v>
      </c>
      <c r="F222">
        <v>1702</v>
      </c>
      <c r="G222">
        <v>750</v>
      </c>
      <c r="H222">
        <v>179</v>
      </c>
      <c r="I222">
        <v>34040</v>
      </c>
      <c r="J222">
        <v>33174</v>
      </c>
      <c r="K222">
        <v>76</v>
      </c>
      <c r="L222" t="s">
        <v>37</v>
      </c>
      <c r="M222" t="s">
        <v>32</v>
      </c>
      <c r="N222">
        <v>7.73</v>
      </c>
    </row>
    <row r="223" spans="1:14">
      <c r="A223" t="s">
        <v>187</v>
      </c>
      <c r="B223" t="s">
        <v>25</v>
      </c>
      <c r="C223" s="1">
        <v>45526</v>
      </c>
      <c r="D223" t="s">
        <v>35</v>
      </c>
      <c r="E223" t="s">
        <v>36</v>
      </c>
      <c r="F223">
        <v>4295</v>
      </c>
      <c r="G223">
        <v>853</v>
      </c>
      <c r="H223">
        <v>325</v>
      </c>
      <c r="I223">
        <v>85900</v>
      </c>
      <c r="J223">
        <v>85788</v>
      </c>
      <c r="K223">
        <v>290</v>
      </c>
      <c r="L223" t="s">
        <v>37</v>
      </c>
      <c r="M223" t="s">
        <v>23</v>
      </c>
      <c r="N223">
        <v>6.37</v>
      </c>
    </row>
    <row r="224" spans="1:14">
      <c r="A224" t="s">
        <v>187</v>
      </c>
      <c r="B224" t="s">
        <v>25</v>
      </c>
      <c r="C224" s="1">
        <v>45526</v>
      </c>
      <c r="D224" t="s">
        <v>35</v>
      </c>
      <c r="E224" t="s">
        <v>36</v>
      </c>
      <c r="F224">
        <v>4295</v>
      </c>
      <c r="G224">
        <v>853</v>
      </c>
      <c r="H224">
        <v>325</v>
      </c>
      <c r="I224">
        <v>85900</v>
      </c>
      <c r="J224">
        <v>85788</v>
      </c>
      <c r="K224">
        <v>290</v>
      </c>
      <c r="L224" t="s">
        <v>17</v>
      </c>
      <c r="M224" t="s">
        <v>23</v>
      </c>
      <c r="N224">
        <v>6.37</v>
      </c>
    </row>
    <row r="225" spans="1:14">
      <c r="A225" t="s">
        <v>188</v>
      </c>
      <c r="B225" t="s">
        <v>27</v>
      </c>
      <c r="C225" s="1">
        <v>45499</v>
      </c>
      <c r="D225" t="s">
        <v>40</v>
      </c>
      <c r="E225" t="s">
        <v>41</v>
      </c>
      <c r="F225">
        <v>3559</v>
      </c>
      <c r="G225">
        <v>59</v>
      </c>
      <c r="H225">
        <v>289</v>
      </c>
      <c r="I225">
        <v>35590</v>
      </c>
      <c r="J225">
        <v>35105</v>
      </c>
      <c r="K225">
        <v>122</v>
      </c>
      <c r="L225" t="s">
        <v>37</v>
      </c>
      <c r="M225" t="s">
        <v>32</v>
      </c>
      <c r="N225">
        <v>10.98</v>
      </c>
    </row>
    <row r="226" spans="1:14">
      <c r="A226" t="s">
        <v>188</v>
      </c>
      <c r="B226" t="s">
        <v>27</v>
      </c>
      <c r="C226" s="1">
        <v>45499</v>
      </c>
      <c r="D226" t="s">
        <v>40</v>
      </c>
      <c r="E226" t="s">
        <v>41</v>
      </c>
      <c r="F226">
        <v>3559</v>
      </c>
      <c r="G226">
        <v>59</v>
      </c>
      <c r="H226">
        <v>289</v>
      </c>
      <c r="I226">
        <v>35590</v>
      </c>
      <c r="J226">
        <v>35105</v>
      </c>
      <c r="K226">
        <v>122</v>
      </c>
      <c r="L226" t="s">
        <v>31</v>
      </c>
      <c r="M226" t="s">
        <v>32</v>
      </c>
      <c r="N226">
        <v>10.98</v>
      </c>
    </row>
    <row r="227" spans="1:14">
      <c r="A227" t="s">
        <v>189</v>
      </c>
      <c r="B227" t="s">
        <v>34</v>
      </c>
      <c r="C227" s="1">
        <v>45769</v>
      </c>
      <c r="D227" t="s">
        <v>40</v>
      </c>
      <c r="E227" t="s">
        <v>41</v>
      </c>
      <c r="F227">
        <v>4804</v>
      </c>
      <c r="G227">
        <v>550</v>
      </c>
      <c r="H227">
        <v>270</v>
      </c>
      <c r="I227">
        <v>28824</v>
      </c>
      <c r="J227">
        <v>28370</v>
      </c>
      <c r="K227">
        <v>47</v>
      </c>
      <c r="L227" t="s">
        <v>17</v>
      </c>
      <c r="M227" t="s">
        <v>44</v>
      </c>
      <c r="N227">
        <v>19.510000000000002</v>
      </c>
    </row>
    <row r="228" spans="1:14">
      <c r="A228" t="s">
        <v>189</v>
      </c>
      <c r="B228" t="s">
        <v>34</v>
      </c>
      <c r="C228" s="1">
        <v>45769</v>
      </c>
      <c r="D228" t="s">
        <v>40</v>
      </c>
      <c r="E228" t="s">
        <v>41</v>
      </c>
      <c r="F228">
        <v>4804</v>
      </c>
      <c r="G228">
        <v>550</v>
      </c>
      <c r="H228">
        <v>270</v>
      </c>
      <c r="I228">
        <v>28824</v>
      </c>
      <c r="J228">
        <v>28370</v>
      </c>
      <c r="K228">
        <v>47</v>
      </c>
      <c r="L228" t="s">
        <v>31</v>
      </c>
      <c r="M228" t="s">
        <v>44</v>
      </c>
      <c r="N228">
        <v>19.510000000000002</v>
      </c>
    </row>
    <row r="229" spans="1:14">
      <c r="A229" t="s">
        <v>190</v>
      </c>
      <c r="B229" t="s">
        <v>14</v>
      </c>
      <c r="C229" s="1">
        <v>45658</v>
      </c>
      <c r="D229" t="s">
        <v>50</v>
      </c>
      <c r="E229" t="s">
        <v>51</v>
      </c>
      <c r="F229">
        <v>754</v>
      </c>
      <c r="G229">
        <v>197</v>
      </c>
      <c r="H229">
        <v>257</v>
      </c>
      <c r="I229">
        <v>6786</v>
      </c>
      <c r="J229">
        <v>6221</v>
      </c>
      <c r="K229">
        <v>212</v>
      </c>
      <c r="L229" t="s">
        <v>52</v>
      </c>
      <c r="M229" t="s">
        <v>32</v>
      </c>
      <c r="N229">
        <v>17.8</v>
      </c>
    </row>
    <row r="230" spans="1:14">
      <c r="A230" t="s">
        <v>190</v>
      </c>
      <c r="B230" t="s">
        <v>14</v>
      </c>
      <c r="C230" s="1">
        <v>45658</v>
      </c>
      <c r="D230" t="s">
        <v>50</v>
      </c>
      <c r="E230" t="s">
        <v>51</v>
      </c>
      <c r="F230">
        <v>754</v>
      </c>
      <c r="G230">
        <v>197</v>
      </c>
      <c r="H230">
        <v>257</v>
      </c>
      <c r="I230">
        <v>6786</v>
      </c>
      <c r="J230">
        <v>6221</v>
      </c>
      <c r="K230">
        <v>212</v>
      </c>
      <c r="L230" t="s">
        <v>37</v>
      </c>
      <c r="M230" t="s">
        <v>32</v>
      </c>
      <c r="N230">
        <v>17.8</v>
      </c>
    </row>
    <row r="231" spans="1:14">
      <c r="A231" t="s">
        <v>191</v>
      </c>
      <c r="B231" t="s">
        <v>27</v>
      </c>
      <c r="C231" s="1">
        <v>45574</v>
      </c>
      <c r="D231" t="s">
        <v>35</v>
      </c>
      <c r="E231" t="s">
        <v>36</v>
      </c>
      <c r="F231">
        <v>985</v>
      </c>
      <c r="G231">
        <v>932</v>
      </c>
      <c r="H231">
        <v>287</v>
      </c>
      <c r="I231">
        <v>6895</v>
      </c>
      <c r="J231">
        <v>6757</v>
      </c>
      <c r="K231">
        <v>64</v>
      </c>
      <c r="L231" t="s">
        <v>17</v>
      </c>
      <c r="M231" t="s">
        <v>23</v>
      </c>
      <c r="N231">
        <v>31.97</v>
      </c>
    </row>
    <row r="232" spans="1:14">
      <c r="A232" t="s">
        <v>191</v>
      </c>
      <c r="B232" t="s">
        <v>27</v>
      </c>
      <c r="C232" s="1">
        <v>45574</v>
      </c>
      <c r="D232" t="s">
        <v>35</v>
      </c>
      <c r="E232" t="s">
        <v>36</v>
      </c>
      <c r="F232">
        <v>985</v>
      </c>
      <c r="G232">
        <v>932</v>
      </c>
      <c r="H232">
        <v>287</v>
      </c>
      <c r="I232">
        <v>6895</v>
      </c>
      <c r="J232">
        <v>6757</v>
      </c>
      <c r="K232">
        <v>64</v>
      </c>
      <c r="L232" t="s">
        <v>22</v>
      </c>
      <c r="M232" t="s">
        <v>23</v>
      </c>
      <c r="N232">
        <v>31.97</v>
      </c>
    </row>
    <row r="233" spans="1:14">
      <c r="A233" t="s">
        <v>192</v>
      </c>
      <c r="B233" t="s">
        <v>25</v>
      </c>
      <c r="C233" s="1">
        <v>45647</v>
      </c>
      <c r="D233" t="s">
        <v>40</v>
      </c>
      <c r="E233" t="s">
        <v>41</v>
      </c>
      <c r="F233">
        <v>2283</v>
      </c>
      <c r="G233">
        <v>210</v>
      </c>
      <c r="H233">
        <v>130</v>
      </c>
      <c r="I233">
        <v>22830</v>
      </c>
      <c r="J233">
        <v>22617</v>
      </c>
      <c r="K233">
        <v>143</v>
      </c>
      <c r="L233" t="s">
        <v>22</v>
      </c>
      <c r="M233" t="s">
        <v>32</v>
      </c>
      <c r="N233">
        <v>11.49</v>
      </c>
    </row>
    <row r="234" spans="1:14">
      <c r="A234" t="s">
        <v>192</v>
      </c>
      <c r="B234" t="s">
        <v>25</v>
      </c>
      <c r="C234" s="1">
        <v>45647</v>
      </c>
      <c r="D234" t="s">
        <v>40</v>
      </c>
      <c r="E234" t="s">
        <v>41</v>
      </c>
      <c r="F234">
        <v>2283</v>
      </c>
      <c r="G234">
        <v>210</v>
      </c>
      <c r="H234">
        <v>130</v>
      </c>
      <c r="I234">
        <v>22830</v>
      </c>
      <c r="J234">
        <v>22617</v>
      </c>
      <c r="K234">
        <v>143</v>
      </c>
      <c r="L234" t="s">
        <v>31</v>
      </c>
      <c r="M234" t="s">
        <v>32</v>
      </c>
      <c r="N234">
        <v>11.49</v>
      </c>
    </row>
    <row r="235" spans="1:14">
      <c r="A235" t="s">
        <v>193</v>
      </c>
      <c r="B235" t="s">
        <v>34</v>
      </c>
      <c r="C235" s="1">
        <v>45587</v>
      </c>
      <c r="D235" t="s">
        <v>35</v>
      </c>
      <c r="E235" t="s">
        <v>36</v>
      </c>
      <c r="F235">
        <v>3352</v>
      </c>
      <c r="G235">
        <v>941</v>
      </c>
      <c r="H235">
        <v>482</v>
      </c>
      <c r="I235">
        <v>43576</v>
      </c>
      <c r="J235">
        <v>43338</v>
      </c>
      <c r="K235">
        <v>240</v>
      </c>
      <c r="L235" t="s">
        <v>37</v>
      </c>
      <c r="M235" t="s">
        <v>32</v>
      </c>
      <c r="N235">
        <v>10.96</v>
      </c>
    </row>
    <row r="236" spans="1:14">
      <c r="A236" t="s">
        <v>194</v>
      </c>
      <c r="B236" t="s">
        <v>25</v>
      </c>
      <c r="C236" s="1">
        <v>45496</v>
      </c>
      <c r="D236" t="s">
        <v>28</v>
      </c>
      <c r="E236" t="s">
        <v>29</v>
      </c>
      <c r="F236">
        <v>4775</v>
      </c>
      <c r="G236">
        <v>173</v>
      </c>
      <c r="H236">
        <v>206</v>
      </c>
      <c r="I236">
        <v>47750</v>
      </c>
      <c r="J236">
        <v>47544</v>
      </c>
      <c r="K236">
        <v>187</v>
      </c>
      <c r="L236" t="s">
        <v>31</v>
      </c>
      <c r="M236" t="s">
        <v>44</v>
      </c>
      <c r="N236">
        <v>10.79</v>
      </c>
    </row>
    <row r="237" spans="1:14">
      <c r="A237" t="s">
        <v>194</v>
      </c>
      <c r="B237" t="s">
        <v>25</v>
      </c>
      <c r="C237" s="1">
        <v>45496</v>
      </c>
      <c r="D237" t="s">
        <v>28</v>
      </c>
      <c r="E237" t="s">
        <v>29</v>
      </c>
      <c r="F237">
        <v>4775</v>
      </c>
      <c r="G237">
        <v>173</v>
      </c>
      <c r="H237">
        <v>206</v>
      </c>
      <c r="I237">
        <v>47750</v>
      </c>
      <c r="J237">
        <v>47544</v>
      </c>
      <c r="K237">
        <v>187</v>
      </c>
      <c r="L237" t="s">
        <v>37</v>
      </c>
      <c r="M237" t="s">
        <v>44</v>
      </c>
      <c r="N237">
        <v>10.79</v>
      </c>
    </row>
    <row r="238" spans="1:14">
      <c r="A238" t="s">
        <v>195</v>
      </c>
      <c r="B238" t="s">
        <v>27</v>
      </c>
      <c r="C238" s="1">
        <v>45515</v>
      </c>
      <c r="D238" t="s">
        <v>28</v>
      </c>
      <c r="E238" t="s">
        <v>29</v>
      </c>
      <c r="F238">
        <v>1762</v>
      </c>
      <c r="G238">
        <v>405</v>
      </c>
      <c r="H238">
        <v>423</v>
      </c>
      <c r="I238">
        <v>22906</v>
      </c>
      <c r="J238">
        <v>21925</v>
      </c>
      <c r="K238">
        <v>25</v>
      </c>
      <c r="L238" t="s">
        <v>52</v>
      </c>
      <c r="M238" t="s">
        <v>23</v>
      </c>
      <c r="N238">
        <v>11.31</v>
      </c>
    </row>
    <row r="239" spans="1:14">
      <c r="A239" t="s">
        <v>196</v>
      </c>
      <c r="B239" t="s">
        <v>34</v>
      </c>
      <c r="C239" s="1">
        <v>45621</v>
      </c>
      <c r="D239" t="s">
        <v>28</v>
      </c>
      <c r="E239" t="s">
        <v>29</v>
      </c>
      <c r="F239">
        <v>2120</v>
      </c>
      <c r="G239">
        <v>158</v>
      </c>
      <c r="H239">
        <v>488</v>
      </c>
      <c r="I239">
        <v>12720</v>
      </c>
      <c r="J239">
        <v>12085</v>
      </c>
      <c r="K239">
        <v>17</v>
      </c>
      <c r="L239" t="s">
        <v>31</v>
      </c>
      <c r="M239" t="s">
        <v>23</v>
      </c>
      <c r="N239">
        <v>21.75</v>
      </c>
    </row>
    <row r="240" spans="1:14">
      <c r="A240" t="s">
        <v>196</v>
      </c>
      <c r="B240" t="s">
        <v>34</v>
      </c>
      <c r="C240" s="1">
        <v>45621</v>
      </c>
      <c r="D240" t="s">
        <v>28</v>
      </c>
      <c r="E240" t="s">
        <v>29</v>
      </c>
      <c r="F240">
        <v>2120</v>
      </c>
      <c r="G240">
        <v>158</v>
      </c>
      <c r="H240">
        <v>488</v>
      </c>
      <c r="I240">
        <v>12720</v>
      </c>
      <c r="J240">
        <v>12085</v>
      </c>
      <c r="K240">
        <v>17</v>
      </c>
      <c r="L240" t="s">
        <v>37</v>
      </c>
      <c r="M240" t="s">
        <v>23</v>
      </c>
      <c r="N240">
        <v>21.75</v>
      </c>
    </row>
    <row r="241" spans="1:14">
      <c r="A241" t="s">
        <v>197</v>
      </c>
      <c r="B241" t="s">
        <v>14</v>
      </c>
      <c r="C241" s="1">
        <v>45528</v>
      </c>
      <c r="D241" t="s">
        <v>50</v>
      </c>
      <c r="E241" t="s">
        <v>51</v>
      </c>
      <c r="F241">
        <v>1082</v>
      </c>
      <c r="G241">
        <v>209</v>
      </c>
      <c r="H241">
        <v>484</v>
      </c>
      <c r="I241">
        <v>19476</v>
      </c>
      <c r="J241">
        <v>18654</v>
      </c>
      <c r="K241">
        <v>20</v>
      </c>
      <c r="L241" t="s">
        <v>31</v>
      </c>
      <c r="M241" t="s">
        <v>44</v>
      </c>
      <c r="N241">
        <v>9.11</v>
      </c>
    </row>
    <row r="242" spans="1:14">
      <c r="A242" t="s">
        <v>198</v>
      </c>
      <c r="B242" t="s">
        <v>14</v>
      </c>
      <c r="C242" s="1">
        <v>45707</v>
      </c>
      <c r="D242" t="s">
        <v>20</v>
      </c>
      <c r="E242" t="s">
        <v>21</v>
      </c>
      <c r="F242">
        <v>4671</v>
      </c>
      <c r="G242">
        <v>876</v>
      </c>
      <c r="H242">
        <v>366</v>
      </c>
      <c r="I242">
        <v>51381</v>
      </c>
      <c r="J242">
        <v>50565</v>
      </c>
      <c r="K242">
        <v>245</v>
      </c>
      <c r="L242" t="s">
        <v>17</v>
      </c>
      <c r="M242" t="s">
        <v>23</v>
      </c>
      <c r="N242">
        <v>11.51</v>
      </c>
    </row>
    <row r="243" spans="1:14">
      <c r="A243" t="s">
        <v>199</v>
      </c>
      <c r="B243" t="s">
        <v>34</v>
      </c>
      <c r="C243" s="1">
        <v>45748</v>
      </c>
      <c r="D243" t="s">
        <v>28</v>
      </c>
      <c r="E243" t="s">
        <v>29</v>
      </c>
      <c r="F243">
        <v>3430</v>
      </c>
      <c r="G243">
        <v>566</v>
      </c>
      <c r="H243">
        <v>164</v>
      </c>
      <c r="I243">
        <v>48020</v>
      </c>
      <c r="J243">
        <v>47305</v>
      </c>
      <c r="K243">
        <v>120</v>
      </c>
      <c r="L243" t="s">
        <v>37</v>
      </c>
      <c r="M243" t="s">
        <v>23</v>
      </c>
      <c r="N243">
        <v>8.66</v>
      </c>
    </row>
    <row r="244" spans="1:14">
      <c r="A244" t="s">
        <v>200</v>
      </c>
      <c r="B244" t="s">
        <v>27</v>
      </c>
      <c r="C244" s="1">
        <v>45755</v>
      </c>
      <c r="D244" t="s">
        <v>40</v>
      </c>
      <c r="E244" t="s">
        <v>41</v>
      </c>
      <c r="F244">
        <v>4501</v>
      </c>
      <c r="G244">
        <v>375</v>
      </c>
      <c r="H244">
        <v>323</v>
      </c>
      <c r="I244">
        <v>22505</v>
      </c>
      <c r="J244">
        <v>21836</v>
      </c>
      <c r="K244">
        <v>132</v>
      </c>
      <c r="L244" t="s">
        <v>22</v>
      </c>
      <c r="M244" t="s">
        <v>44</v>
      </c>
      <c r="N244">
        <v>23.1</v>
      </c>
    </row>
    <row r="245" spans="1:14">
      <c r="A245" t="s">
        <v>201</v>
      </c>
      <c r="B245" t="s">
        <v>25</v>
      </c>
      <c r="C245" s="1">
        <v>45715</v>
      </c>
      <c r="D245" t="s">
        <v>20</v>
      </c>
      <c r="E245" t="s">
        <v>21</v>
      </c>
      <c r="F245">
        <v>4934</v>
      </c>
      <c r="G245">
        <v>971</v>
      </c>
      <c r="H245">
        <v>156</v>
      </c>
      <c r="I245">
        <v>39472</v>
      </c>
      <c r="J245">
        <v>39025</v>
      </c>
      <c r="K245">
        <v>169</v>
      </c>
      <c r="L245" t="s">
        <v>52</v>
      </c>
      <c r="M245" t="s">
        <v>23</v>
      </c>
      <c r="N245">
        <v>15.36</v>
      </c>
    </row>
    <row r="246" spans="1:14">
      <c r="A246" t="s">
        <v>201</v>
      </c>
      <c r="B246" t="s">
        <v>25</v>
      </c>
      <c r="C246" s="1">
        <v>45715</v>
      </c>
      <c r="D246" t="s">
        <v>20</v>
      </c>
      <c r="E246" t="s">
        <v>21</v>
      </c>
      <c r="F246">
        <v>4934</v>
      </c>
      <c r="G246">
        <v>971</v>
      </c>
      <c r="H246">
        <v>156</v>
      </c>
      <c r="I246">
        <v>39472</v>
      </c>
      <c r="J246">
        <v>39025</v>
      </c>
      <c r="K246">
        <v>169</v>
      </c>
      <c r="L246" t="s">
        <v>31</v>
      </c>
      <c r="M246" t="s">
        <v>23</v>
      </c>
      <c r="N246">
        <v>15.36</v>
      </c>
    </row>
    <row r="247" spans="1:14">
      <c r="A247" t="s">
        <v>202</v>
      </c>
      <c r="B247" t="s">
        <v>14</v>
      </c>
      <c r="C247" s="1">
        <v>45637</v>
      </c>
      <c r="D247" t="s">
        <v>20</v>
      </c>
      <c r="E247" t="s">
        <v>21</v>
      </c>
      <c r="F247">
        <v>3239</v>
      </c>
      <c r="G247">
        <v>43</v>
      </c>
      <c r="H247">
        <v>211</v>
      </c>
      <c r="I247">
        <v>22673</v>
      </c>
      <c r="J247">
        <v>22171</v>
      </c>
      <c r="K247">
        <v>230</v>
      </c>
      <c r="L247" t="s">
        <v>37</v>
      </c>
      <c r="M247" t="s">
        <v>23</v>
      </c>
      <c r="N247">
        <v>15.41</v>
      </c>
    </row>
    <row r="248" spans="1:14">
      <c r="A248" t="s">
        <v>202</v>
      </c>
      <c r="B248" t="s">
        <v>14</v>
      </c>
      <c r="C248" s="1">
        <v>45637</v>
      </c>
      <c r="D248" t="s">
        <v>20</v>
      </c>
      <c r="E248" t="s">
        <v>21</v>
      </c>
      <c r="F248">
        <v>3239</v>
      </c>
      <c r="G248">
        <v>43</v>
      </c>
      <c r="H248">
        <v>211</v>
      </c>
      <c r="I248">
        <v>22673</v>
      </c>
      <c r="J248">
        <v>22171</v>
      </c>
      <c r="K248">
        <v>230</v>
      </c>
      <c r="L248" t="s">
        <v>31</v>
      </c>
      <c r="M248" t="s">
        <v>23</v>
      </c>
      <c r="N248">
        <v>15.41</v>
      </c>
    </row>
    <row r="249" spans="1:14">
      <c r="A249" t="s">
        <v>203</v>
      </c>
      <c r="B249" t="s">
        <v>14</v>
      </c>
      <c r="C249" s="1">
        <v>45704</v>
      </c>
      <c r="D249" t="s">
        <v>15</v>
      </c>
      <c r="E249" t="s">
        <v>16</v>
      </c>
      <c r="F249">
        <v>1076</v>
      </c>
      <c r="G249">
        <v>313</v>
      </c>
      <c r="H249">
        <v>306</v>
      </c>
      <c r="I249">
        <v>11836</v>
      </c>
      <c r="J249">
        <v>11596</v>
      </c>
      <c r="K249">
        <v>104</v>
      </c>
      <c r="L249" t="s">
        <v>52</v>
      </c>
      <c r="M249" t="s">
        <v>23</v>
      </c>
      <c r="N249">
        <v>14.32</v>
      </c>
    </row>
    <row r="250" spans="1:14">
      <c r="A250" t="s">
        <v>204</v>
      </c>
      <c r="B250" t="s">
        <v>27</v>
      </c>
      <c r="C250" s="1">
        <v>45624</v>
      </c>
      <c r="D250" t="s">
        <v>20</v>
      </c>
      <c r="E250" t="s">
        <v>21</v>
      </c>
      <c r="F250">
        <v>4771</v>
      </c>
      <c r="G250">
        <v>818</v>
      </c>
      <c r="H250">
        <v>56</v>
      </c>
      <c r="I250">
        <v>57252</v>
      </c>
      <c r="J250">
        <v>56378</v>
      </c>
      <c r="K250">
        <v>150</v>
      </c>
      <c r="L250" t="s">
        <v>17</v>
      </c>
      <c r="M250" t="s">
        <v>23</v>
      </c>
      <c r="N250">
        <v>9.86</v>
      </c>
    </row>
    <row r="251" spans="1:14">
      <c r="A251" t="s">
        <v>205</v>
      </c>
      <c r="B251" t="s">
        <v>34</v>
      </c>
      <c r="C251" s="1">
        <v>45608</v>
      </c>
      <c r="D251" t="s">
        <v>20</v>
      </c>
      <c r="E251" t="s">
        <v>21</v>
      </c>
      <c r="F251">
        <v>2418</v>
      </c>
      <c r="G251">
        <v>754</v>
      </c>
      <c r="H251">
        <v>54</v>
      </c>
      <c r="I251">
        <v>43524</v>
      </c>
      <c r="J251">
        <v>42743</v>
      </c>
      <c r="K251">
        <v>182</v>
      </c>
      <c r="L251" t="s">
        <v>22</v>
      </c>
      <c r="M251" t="s">
        <v>44</v>
      </c>
      <c r="N251">
        <v>7.41</v>
      </c>
    </row>
    <row r="252" spans="1:14">
      <c r="A252" t="s">
        <v>205</v>
      </c>
      <c r="B252" t="s">
        <v>34</v>
      </c>
      <c r="C252" s="1">
        <v>45608</v>
      </c>
      <c r="D252" t="s">
        <v>20</v>
      </c>
      <c r="E252" t="s">
        <v>21</v>
      </c>
      <c r="F252">
        <v>2418</v>
      </c>
      <c r="G252">
        <v>754</v>
      </c>
      <c r="H252">
        <v>54</v>
      </c>
      <c r="I252">
        <v>43524</v>
      </c>
      <c r="J252">
        <v>42743</v>
      </c>
      <c r="K252">
        <v>182</v>
      </c>
      <c r="L252" t="s">
        <v>37</v>
      </c>
      <c r="M252" t="s">
        <v>44</v>
      </c>
      <c r="N252">
        <v>7.41</v>
      </c>
    </row>
    <row r="253" spans="1:14">
      <c r="A253" t="s">
        <v>206</v>
      </c>
      <c r="B253" t="s">
        <v>25</v>
      </c>
      <c r="C253" s="1">
        <v>45629</v>
      </c>
      <c r="D253" t="s">
        <v>50</v>
      </c>
      <c r="E253" t="s">
        <v>51</v>
      </c>
      <c r="F253">
        <v>3809</v>
      </c>
      <c r="G253">
        <v>273</v>
      </c>
      <c r="H253">
        <v>200</v>
      </c>
      <c r="I253">
        <v>34281</v>
      </c>
      <c r="J253">
        <v>33534</v>
      </c>
      <c r="K253">
        <v>83</v>
      </c>
      <c r="L253" t="s">
        <v>37</v>
      </c>
      <c r="M253" t="s">
        <v>32</v>
      </c>
      <c r="N253">
        <v>12.49</v>
      </c>
    </row>
    <row r="254" spans="1:14">
      <c r="A254" t="s">
        <v>207</v>
      </c>
      <c r="B254" t="s">
        <v>14</v>
      </c>
      <c r="C254" s="1">
        <v>45775</v>
      </c>
      <c r="D254" t="s">
        <v>20</v>
      </c>
      <c r="E254" t="s">
        <v>21</v>
      </c>
      <c r="F254">
        <v>3577</v>
      </c>
      <c r="G254">
        <v>596</v>
      </c>
      <c r="H254">
        <v>493</v>
      </c>
      <c r="I254">
        <v>67963</v>
      </c>
      <c r="J254">
        <v>67839</v>
      </c>
      <c r="K254">
        <v>53</v>
      </c>
      <c r="L254" t="s">
        <v>31</v>
      </c>
      <c r="M254" t="s">
        <v>44</v>
      </c>
      <c r="N254">
        <v>6.87</v>
      </c>
    </row>
    <row r="255" spans="1:14">
      <c r="A255" t="s">
        <v>207</v>
      </c>
      <c r="B255" t="s">
        <v>14</v>
      </c>
      <c r="C255" s="1">
        <v>45775</v>
      </c>
      <c r="D255" t="s">
        <v>20</v>
      </c>
      <c r="E255" t="s">
        <v>21</v>
      </c>
      <c r="F255">
        <v>3577</v>
      </c>
      <c r="G255">
        <v>596</v>
      </c>
      <c r="H255">
        <v>493</v>
      </c>
      <c r="I255">
        <v>67963</v>
      </c>
      <c r="J255">
        <v>67839</v>
      </c>
      <c r="K255">
        <v>53</v>
      </c>
      <c r="L255" t="s">
        <v>37</v>
      </c>
      <c r="M255" t="s">
        <v>44</v>
      </c>
      <c r="N255">
        <v>6.87</v>
      </c>
    </row>
    <row r="256" spans="1:14">
      <c r="A256" t="s">
        <v>208</v>
      </c>
      <c r="B256" t="s">
        <v>25</v>
      </c>
      <c r="C256" s="1">
        <v>45657</v>
      </c>
      <c r="D256" t="s">
        <v>50</v>
      </c>
      <c r="E256" t="s">
        <v>51</v>
      </c>
      <c r="F256">
        <v>1018</v>
      </c>
      <c r="G256">
        <v>447</v>
      </c>
      <c r="H256">
        <v>332</v>
      </c>
      <c r="I256">
        <v>18324</v>
      </c>
      <c r="J256">
        <v>18164</v>
      </c>
      <c r="K256">
        <v>38</v>
      </c>
      <c r="L256" t="s">
        <v>17</v>
      </c>
      <c r="M256" t="s">
        <v>44</v>
      </c>
      <c r="N256">
        <v>9.81</v>
      </c>
    </row>
    <row r="257" spans="1:14">
      <c r="A257" t="s">
        <v>208</v>
      </c>
      <c r="B257" t="s">
        <v>25</v>
      </c>
      <c r="C257" s="1">
        <v>45657</v>
      </c>
      <c r="D257" t="s">
        <v>50</v>
      </c>
      <c r="E257" t="s">
        <v>51</v>
      </c>
      <c r="F257">
        <v>1018</v>
      </c>
      <c r="G257">
        <v>447</v>
      </c>
      <c r="H257">
        <v>332</v>
      </c>
      <c r="I257">
        <v>18324</v>
      </c>
      <c r="J257">
        <v>18164</v>
      </c>
      <c r="K257">
        <v>38</v>
      </c>
      <c r="L257" t="s">
        <v>22</v>
      </c>
      <c r="M257" t="s">
        <v>44</v>
      </c>
      <c r="N257">
        <v>9.81</v>
      </c>
    </row>
    <row r="258" spans="1:14">
      <c r="A258" t="s">
        <v>209</v>
      </c>
      <c r="B258" t="s">
        <v>34</v>
      </c>
      <c r="C258" s="1">
        <v>45518</v>
      </c>
      <c r="D258" t="s">
        <v>35</v>
      </c>
      <c r="E258" t="s">
        <v>36</v>
      </c>
      <c r="F258">
        <v>3073</v>
      </c>
      <c r="G258">
        <v>553</v>
      </c>
      <c r="H258">
        <v>174</v>
      </c>
      <c r="I258">
        <v>52241</v>
      </c>
      <c r="J258">
        <v>51605</v>
      </c>
      <c r="K258">
        <v>246</v>
      </c>
      <c r="L258" t="s">
        <v>22</v>
      </c>
      <c r="M258" t="s">
        <v>44</v>
      </c>
      <c r="N258">
        <v>7.27</v>
      </c>
    </row>
    <row r="259" spans="1:14">
      <c r="A259" t="s">
        <v>209</v>
      </c>
      <c r="B259" t="s">
        <v>34</v>
      </c>
      <c r="C259" s="1">
        <v>45518</v>
      </c>
      <c r="D259" t="s">
        <v>35</v>
      </c>
      <c r="E259" t="s">
        <v>36</v>
      </c>
      <c r="F259">
        <v>3073</v>
      </c>
      <c r="G259">
        <v>553</v>
      </c>
      <c r="H259">
        <v>174</v>
      </c>
      <c r="I259">
        <v>52241</v>
      </c>
      <c r="J259">
        <v>51605</v>
      </c>
      <c r="K259">
        <v>246</v>
      </c>
      <c r="L259" t="s">
        <v>31</v>
      </c>
      <c r="M259" t="s">
        <v>44</v>
      </c>
      <c r="N259">
        <v>7.27</v>
      </c>
    </row>
    <row r="260" spans="1:14">
      <c r="A260" t="s">
        <v>210</v>
      </c>
      <c r="B260" t="s">
        <v>14</v>
      </c>
      <c r="C260" s="1">
        <v>45631</v>
      </c>
      <c r="D260" t="s">
        <v>50</v>
      </c>
      <c r="E260" t="s">
        <v>51</v>
      </c>
      <c r="F260">
        <v>1330</v>
      </c>
      <c r="G260">
        <v>925</v>
      </c>
      <c r="H260">
        <v>35</v>
      </c>
      <c r="I260">
        <v>15960</v>
      </c>
      <c r="J260">
        <v>15379</v>
      </c>
      <c r="K260">
        <v>229</v>
      </c>
      <c r="L260" t="s">
        <v>52</v>
      </c>
      <c r="M260" t="s">
        <v>44</v>
      </c>
      <c r="N260">
        <v>14.35</v>
      </c>
    </row>
    <row r="261" spans="1:14">
      <c r="A261" t="s">
        <v>210</v>
      </c>
      <c r="B261" t="s">
        <v>14</v>
      </c>
      <c r="C261" s="1">
        <v>45631</v>
      </c>
      <c r="D261" t="s">
        <v>50</v>
      </c>
      <c r="E261" t="s">
        <v>51</v>
      </c>
      <c r="F261">
        <v>1330</v>
      </c>
      <c r="G261">
        <v>925</v>
      </c>
      <c r="H261">
        <v>35</v>
      </c>
      <c r="I261">
        <v>15960</v>
      </c>
      <c r="J261">
        <v>15379</v>
      </c>
      <c r="K261">
        <v>229</v>
      </c>
      <c r="L261" t="s">
        <v>37</v>
      </c>
      <c r="M261" t="s">
        <v>44</v>
      </c>
      <c r="N261">
        <v>14.35</v>
      </c>
    </row>
    <row r="262" spans="1:14">
      <c r="A262" t="s">
        <v>211</v>
      </c>
      <c r="B262" t="s">
        <v>34</v>
      </c>
      <c r="C262" s="1">
        <v>45465</v>
      </c>
      <c r="D262" t="s">
        <v>20</v>
      </c>
      <c r="E262" t="s">
        <v>21</v>
      </c>
      <c r="F262">
        <v>3828</v>
      </c>
      <c r="G262">
        <v>148</v>
      </c>
      <c r="H262">
        <v>253</v>
      </c>
      <c r="I262">
        <v>30624</v>
      </c>
      <c r="J262">
        <v>30229</v>
      </c>
      <c r="K262">
        <v>235</v>
      </c>
      <c r="L262" t="s">
        <v>17</v>
      </c>
      <c r="M262" t="s">
        <v>44</v>
      </c>
      <c r="N262">
        <v>13.81</v>
      </c>
    </row>
    <row r="263" spans="1:14">
      <c r="A263" t="s">
        <v>211</v>
      </c>
      <c r="B263" t="s">
        <v>34</v>
      </c>
      <c r="C263" s="1">
        <v>45465</v>
      </c>
      <c r="D263" t="s">
        <v>20</v>
      </c>
      <c r="E263" t="s">
        <v>21</v>
      </c>
      <c r="F263">
        <v>3828</v>
      </c>
      <c r="G263">
        <v>148</v>
      </c>
      <c r="H263">
        <v>253</v>
      </c>
      <c r="I263">
        <v>30624</v>
      </c>
      <c r="J263">
        <v>30229</v>
      </c>
      <c r="K263">
        <v>235</v>
      </c>
      <c r="L263" t="s">
        <v>31</v>
      </c>
      <c r="M263" t="s">
        <v>44</v>
      </c>
      <c r="N263">
        <v>13.81</v>
      </c>
    </row>
    <row r="264" spans="1:14">
      <c r="A264" t="s">
        <v>212</v>
      </c>
      <c r="B264" t="s">
        <v>27</v>
      </c>
      <c r="C264" s="1">
        <v>45674</v>
      </c>
      <c r="D264" t="s">
        <v>15</v>
      </c>
      <c r="E264" t="s">
        <v>16</v>
      </c>
      <c r="F264">
        <v>142</v>
      </c>
      <c r="G264">
        <v>784</v>
      </c>
      <c r="H264">
        <v>183</v>
      </c>
      <c r="I264">
        <v>1704</v>
      </c>
      <c r="J264">
        <v>995</v>
      </c>
      <c r="K264">
        <v>154</v>
      </c>
      <c r="L264" t="s">
        <v>17</v>
      </c>
      <c r="M264" t="s">
        <v>18</v>
      </c>
      <c r="N264">
        <v>65.08</v>
      </c>
    </row>
    <row r="265" spans="1:14">
      <c r="A265" t="s">
        <v>213</v>
      </c>
      <c r="B265" t="s">
        <v>34</v>
      </c>
      <c r="C265" s="1">
        <v>45463</v>
      </c>
      <c r="D265" t="s">
        <v>50</v>
      </c>
      <c r="E265" t="s">
        <v>51</v>
      </c>
      <c r="F265">
        <v>3798</v>
      </c>
      <c r="G265">
        <v>31</v>
      </c>
      <c r="H265">
        <v>279</v>
      </c>
      <c r="I265">
        <v>75960</v>
      </c>
      <c r="J265">
        <v>75813</v>
      </c>
      <c r="K265">
        <v>266</v>
      </c>
      <c r="L265" t="s">
        <v>22</v>
      </c>
      <c r="M265" t="s">
        <v>23</v>
      </c>
      <c r="N265">
        <v>5.41</v>
      </c>
    </row>
    <row r="266" spans="1:14">
      <c r="A266" t="s">
        <v>214</v>
      </c>
      <c r="B266" t="s">
        <v>27</v>
      </c>
      <c r="C266" s="1">
        <v>45483</v>
      </c>
      <c r="D266" t="s">
        <v>35</v>
      </c>
      <c r="E266" t="s">
        <v>36</v>
      </c>
      <c r="F266">
        <v>3099</v>
      </c>
      <c r="G266">
        <v>694</v>
      </c>
      <c r="H266">
        <v>171</v>
      </c>
      <c r="I266">
        <v>43386</v>
      </c>
      <c r="J266">
        <v>42921</v>
      </c>
      <c r="K266">
        <v>52</v>
      </c>
      <c r="L266" t="s">
        <v>52</v>
      </c>
      <c r="M266" t="s">
        <v>44</v>
      </c>
      <c r="N266">
        <v>9.14</v>
      </c>
    </row>
    <row r="267" spans="1:14">
      <c r="A267" t="s">
        <v>215</v>
      </c>
      <c r="B267" t="s">
        <v>27</v>
      </c>
      <c r="C267" s="1">
        <v>45603</v>
      </c>
      <c r="D267" t="s">
        <v>50</v>
      </c>
      <c r="E267" t="s">
        <v>51</v>
      </c>
      <c r="F267">
        <v>129</v>
      </c>
      <c r="G267">
        <v>643</v>
      </c>
      <c r="H267">
        <v>136</v>
      </c>
      <c r="I267">
        <v>1290</v>
      </c>
      <c r="J267">
        <v>839</v>
      </c>
      <c r="K267">
        <v>238</v>
      </c>
      <c r="L267" t="s">
        <v>31</v>
      </c>
      <c r="M267" t="s">
        <v>44</v>
      </c>
      <c r="N267">
        <v>70.39</v>
      </c>
    </row>
    <row r="268" spans="1:14">
      <c r="A268" t="s">
        <v>215</v>
      </c>
      <c r="B268" t="s">
        <v>27</v>
      </c>
      <c r="C268" s="1">
        <v>45603</v>
      </c>
      <c r="D268" t="s">
        <v>50</v>
      </c>
      <c r="E268" t="s">
        <v>51</v>
      </c>
      <c r="F268">
        <v>129</v>
      </c>
      <c r="G268">
        <v>643</v>
      </c>
      <c r="H268">
        <v>136</v>
      </c>
      <c r="I268">
        <v>1290</v>
      </c>
      <c r="J268">
        <v>839</v>
      </c>
      <c r="K268">
        <v>238</v>
      </c>
      <c r="L268" t="s">
        <v>52</v>
      </c>
      <c r="M268" t="s">
        <v>44</v>
      </c>
      <c r="N268">
        <v>70.39</v>
      </c>
    </row>
    <row r="269" spans="1:14">
      <c r="A269" t="s">
        <v>216</v>
      </c>
      <c r="B269" t="s">
        <v>34</v>
      </c>
      <c r="C269" s="1">
        <v>45488</v>
      </c>
      <c r="D269" t="s">
        <v>35</v>
      </c>
      <c r="E269" t="s">
        <v>36</v>
      </c>
      <c r="F269">
        <v>3796</v>
      </c>
      <c r="G269">
        <v>667</v>
      </c>
      <c r="H269">
        <v>395</v>
      </c>
      <c r="I269">
        <v>64532</v>
      </c>
      <c r="J269">
        <v>63550</v>
      </c>
      <c r="K269">
        <v>292</v>
      </c>
      <c r="L269" t="s">
        <v>31</v>
      </c>
      <c r="M269" t="s">
        <v>18</v>
      </c>
      <c r="N269">
        <v>7.53</v>
      </c>
    </row>
    <row r="270" spans="1:14">
      <c r="A270" t="s">
        <v>217</v>
      </c>
      <c r="B270" t="s">
        <v>25</v>
      </c>
      <c r="C270" s="1">
        <v>45629</v>
      </c>
      <c r="D270" t="s">
        <v>20</v>
      </c>
      <c r="E270" t="s">
        <v>21</v>
      </c>
      <c r="F270">
        <v>3711</v>
      </c>
      <c r="G270">
        <v>352</v>
      </c>
      <c r="H270">
        <v>290</v>
      </c>
      <c r="I270">
        <v>48243</v>
      </c>
      <c r="J270">
        <v>47579</v>
      </c>
      <c r="K270">
        <v>11</v>
      </c>
      <c r="L270" t="s">
        <v>31</v>
      </c>
      <c r="M270" t="s">
        <v>44</v>
      </c>
      <c r="N270">
        <v>9.02</v>
      </c>
    </row>
    <row r="271" spans="1:14">
      <c r="A271" t="s">
        <v>217</v>
      </c>
      <c r="B271" t="s">
        <v>25</v>
      </c>
      <c r="C271" s="1">
        <v>45629</v>
      </c>
      <c r="D271" t="s">
        <v>20</v>
      </c>
      <c r="E271" t="s">
        <v>21</v>
      </c>
      <c r="F271">
        <v>3711</v>
      </c>
      <c r="G271">
        <v>352</v>
      </c>
      <c r="H271">
        <v>290</v>
      </c>
      <c r="I271">
        <v>48243</v>
      </c>
      <c r="J271">
        <v>47579</v>
      </c>
      <c r="K271">
        <v>11</v>
      </c>
      <c r="L271" t="s">
        <v>52</v>
      </c>
      <c r="M271" t="s">
        <v>44</v>
      </c>
      <c r="N271">
        <v>9.02</v>
      </c>
    </row>
    <row r="272" spans="1:14">
      <c r="A272" t="s">
        <v>218</v>
      </c>
      <c r="B272" t="s">
        <v>25</v>
      </c>
      <c r="C272" s="1">
        <v>45737</v>
      </c>
      <c r="D272" t="s">
        <v>40</v>
      </c>
      <c r="E272" t="s">
        <v>41</v>
      </c>
      <c r="F272">
        <v>606</v>
      </c>
      <c r="G272">
        <v>789</v>
      </c>
      <c r="H272">
        <v>470</v>
      </c>
      <c r="I272">
        <v>7878</v>
      </c>
      <c r="J272">
        <v>7389</v>
      </c>
      <c r="K272">
        <v>239</v>
      </c>
      <c r="L272" t="s">
        <v>17</v>
      </c>
      <c r="M272" t="s">
        <v>23</v>
      </c>
      <c r="N272">
        <v>23.67</v>
      </c>
    </row>
    <row r="273" spans="1:14">
      <c r="A273" t="s">
        <v>219</v>
      </c>
      <c r="B273" t="s">
        <v>34</v>
      </c>
      <c r="C273" s="1">
        <v>45504</v>
      </c>
      <c r="D273" t="s">
        <v>40</v>
      </c>
      <c r="E273" t="s">
        <v>41</v>
      </c>
      <c r="F273">
        <v>4689</v>
      </c>
      <c r="G273">
        <v>134</v>
      </c>
      <c r="H273">
        <v>403</v>
      </c>
      <c r="I273">
        <v>51579</v>
      </c>
      <c r="J273">
        <v>50924</v>
      </c>
      <c r="K273">
        <v>173</v>
      </c>
      <c r="L273" t="s">
        <v>52</v>
      </c>
      <c r="M273" t="s">
        <v>18</v>
      </c>
      <c r="N273">
        <v>10.130000000000001</v>
      </c>
    </row>
    <row r="274" spans="1:14">
      <c r="A274" t="s">
        <v>220</v>
      </c>
      <c r="B274" t="s">
        <v>27</v>
      </c>
      <c r="C274" s="1">
        <v>45643</v>
      </c>
      <c r="D274" t="s">
        <v>28</v>
      </c>
      <c r="E274" t="s">
        <v>29</v>
      </c>
      <c r="F274">
        <v>360</v>
      </c>
      <c r="G274">
        <v>590</v>
      </c>
      <c r="H274">
        <v>393</v>
      </c>
      <c r="I274">
        <v>4680</v>
      </c>
      <c r="J274">
        <v>4322</v>
      </c>
      <c r="K274">
        <v>208</v>
      </c>
      <c r="L274" t="s">
        <v>31</v>
      </c>
      <c r="M274" t="s">
        <v>23</v>
      </c>
      <c r="N274">
        <v>28.7</v>
      </c>
    </row>
    <row r="275" spans="1:14">
      <c r="A275" t="s">
        <v>220</v>
      </c>
      <c r="B275" t="s">
        <v>27</v>
      </c>
      <c r="C275" s="1">
        <v>45643</v>
      </c>
      <c r="D275" t="s">
        <v>28</v>
      </c>
      <c r="E275" t="s">
        <v>29</v>
      </c>
      <c r="F275">
        <v>360</v>
      </c>
      <c r="G275">
        <v>590</v>
      </c>
      <c r="H275">
        <v>393</v>
      </c>
      <c r="I275">
        <v>4680</v>
      </c>
      <c r="J275">
        <v>4322</v>
      </c>
      <c r="K275">
        <v>208</v>
      </c>
      <c r="L275" t="s">
        <v>52</v>
      </c>
      <c r="M275" t="s">
        <v>23</v>
      </c>
      <c r="N275">
        <v>28.7</v>
      </c>
    </row>
    <row r="276" spans="1:14">
      <c r="A276" t="s">
        <v>221</v>
      </c>
      <c r="B276" t="s">
        <v>14</v>
      </c>
      <c r="C276" s="1">
        <v>45501</v>
      </c>
      <c r="D276" t="s">
        <v>40</v>
      </c>
      <c r="E276" t="s">
        <v>41</v>
      </c>
      <c r="F276">
        <v>3215</v>
      </c>
      <c r="G276">
        <v>960</v>
      </c>
      <c r="H276">
        <v>202</v>
      </c>
      <c r="I276">
        <v>32150</v>
      </c>
      <c r="J276">
        <v>31404</v>
      </c>
      <c r="K276">
        <v>251</v>
      </c>
      <c r="L276" t="s">
        <v>31</v>
      </c>
      <c r="M276" t="s">
        <v>32</v>
      </c>
      <c r="N276">
        <v>13.61</v>
      </c>
    </row>
    <row r="277" spans="1:14">
      <c r="A277" t="s">
        <v>222</v>
      </c>
      <c r="B277" t="s">
        <v>27</v>
      </c>
      <c r="C277" s="1">
        <v>45668</v>
      </c>
      <c r="D277" t="s">
        <v>35</v>
      </c>
      <c r="E277" t="s">
        <v>36</v>
      </c>
      <c r="F277">
        <v>4523</v>
      </c>
      <c r="G277">
        <v>61</v>
      </c>
      <c r="H277">
        <v>157</v>
      </c>
      <c r="I277">
        <v>49753</v>
      </c>
      <c r="J277">
        <v>49329</v>
      </c>
      <c r="K277">
        <v>71</v>
      </c>
      <c r="L277" t="s">
        <v>17</v>
      </c>
      <c r="M277" t="s">
        <v>44</v>
      </c>
      <c r="N277">
        <v>9.5299999999999994</v>
      </c>
    </row>
    <row r="278" spans="1:14">
      <c r="A278" t="s">
        <v>222</v>
      </c>
      <c r="B278" t="s">
        <v>27</v>
      </c>
      <c r="C278" s="1">
        <v>45668</v>
      </c>
      <c r="D278" t="s">
        <v>35</v>
      </c>
      <c r="E278" t="s">
        <v>36</v>
      </c>
      <c r="F278">
        <v>4523</v>
      </c>
      <c r="G278">
        <v>61</v>
      </c>
      <c r="H278">
        <v>157</v>
      </c>
      <c r="I278">
        <v>49753</v>
      </c>
      <c r="J278">
        <v>49329</v>
      </c>
      <c r="K278">
        <v>71</v>
      </c>
      <c r="L278" t="s">
        <v>37</v>
      </c>
      <c r="M278" t="s">
        <v>44</v>
      </c>
      <c r="N278">
        <v>9.5299999999999994</v>
      </c>
    </row>
    <row r="279" spans="1:14">
      <c r="A279" t="s">
        <v>223</v>
      </c>
      <c r="B279" t="s">
        <v>34</v>
      </c>
      <c r="C279" s="1">
        <v>45528</v>
      </c>
      <c r="D279" t="s">
        <v>35</v>
      </c>
      <c r="E279" t="s">
        <v>36</v>
      </c>
      <c r="F279">
        <v>4292</v>
      </c>
      <c r="G279">
        <v>51</v>
      </c>
      <c r="H279">
        <v>392</v>
      </c>
      <c r="I279">
        <v>55796</v>
      </c>
      <c r="J279">
        <v>54826</v>
      </c>
      <c r="K279">
        <v>264</v>
      </c>
      <c r="L279" t="s">
        <v>37</v>
      </c>
      <c r="M279" t="s">
        <v>18</v>
      </c>
      <c r="N279">
        <v>8.49</v>
      </c>
    </row>
    <row r="280" spans="1:14">
      <c r="A280" t="s">
        <v>223</v>
      </c>
      <c r="B280" t="s">
        <v>34</v>
      </c>
      <c r="C280" s="1">
        <v>45528</v>
      </c>
      <c r="D280" t="s">
        <v>35</v>
      </c>
      <c r="E280" t="s">
        <v>36</v>
      </c>
      <c r="F280">
        <v>4292</v>
      </c>
      <c r="G280">
        <v>51</v>
      </c>
      <c r="H280">
        <v>392</v>
      </c>
      <c r="I280">
        <v>55796</v>
      </c>
      <c r="J280">
        <v>54826</v>
      </c>
      <c r="K280">
        <v>264</v>
      </c>
      <c r="L280" t="s">
        <v>31</v>
      </c>
      <c r="M280" t="s">
        <v>18</v>
      </c>
      <c r="N280">
        <v>8.49</v>
      </c>
    </row>
    <row r="281" spans="1:14">
      <c r="A281" t="s">
        <v>224</v>
      </c>
      <c r="B281" t="s">
        <v>14</v>
      </c>
      <c r="C281" s="1">
        <v>45648</v>
      </c>
      <c r="D281" t="s">
        <v>15</v>
      </c>
      <c r="E281" t="s">
        <v>16</v>
      </c>
      <c r="F281">
        <v>1644</v>
      </c>
      <c r="G281">
        <v>546</v>
      </c>
      <c r="H281">
        <v>150</v>
      </c>
      <c r="I281">
        <v>27948</v>
      </c>
      <c r="J281">
        <v>27184</v>
      </c>
      <c r="K281">
        <v>300</v>
      </c>
      <c r="L281" t="s">
        <v>17</v>
      </c>
      <c r="M281" t="s">
        <v>18</v>
      </c>
      <c r="N281">
        <v>8.3699999999999992</v>
      </c>
    </row>
    <row r="282" spans="1:14">
      <c r="A282" t="s">
        <v>224</v>
      </c>
      <c r="B282" t="s">
        <v>14</v>
      </c>
      <c r="C282" s="1">
        <v>45648</v>
      </c>
      <c r="D282" t="s">
        <v>15</v>
      </c>
      <c r="E282" t="s">
        <v>16</v>
      </c>
      <c r="F282">
        <v>1644</v>
      </c>
      <c r="G282">
        <v>546</v>
      </c>
      <c r="H282">
        <v>150</v>
      </c>
      <c r="I282">
        <v>27948</v>
      </c>
      <c r="J282">
        <v>27184</v>
      </c>
      <c r="K282">
        <v>300</v>
      </c>
      <c r="L282" t="s">
        <v>37</v>
      </c>
      <c r="M282" t="s">
        <v>18</v>
      </c>
      <c r="N282">
        <v>8.3699999999999992</v>
      </c>
    </row>
    <row r="283" spans="1:14">
      <c r="A283" t="s">
        <v>225</v>
      </c>
      <c r="B283" t="s">
        <v>25</v>
      </c>
      <c r="C283" s="1">
        <v>45449</v>
      </c>
      <c r="D283" t="s">
        <v>15</v>
      </c>
      <c r="E283" t="s">
        <v>16</v>
      </c>
      <c r="F283">
        <v>2728</v>
      </c>
      <c r="G283">
        <v>533</v>
      </c>
      <c r="H283">
        <v>215</v>
      </c>
      <c r="I283">
        <v>40920</v>
      </c>
      <c r="J283">
        <v>40816</v>
      </c>
      <c r="K283">
        <v>137</v>
      </c>
      <c r="L283" t="s">
        <v>17</v>
      </c>
      <c r="M283" t="s">
        <v>23</v>
      </c>
      <c r="N283">
        <v>8.49</v>
      </c>
    </row>
    <row r="284" spans="1:14">
      <c r="A284" t="s">
        <v>226</v>
      </c>
      <c r="B284" t="s">
        <v>34</v>
      </c>
      <c r="C284" s="1">
        <v>45740</v>
      </c>
      <c r="D284" t="s">
        <v>15</v>
      </c>
      <c r="E284" t="s">
        <v>16</v>
      </c>
      <c r="F284">
        <v>3360</v>
      </c>
      <c r="G284">
        <v>525</v>
      </c>
      <c r="H284">
        <v>500</v>
      </c>
      <c r="I284">
        <v>60480</v>
      </c>
      <c r="J284">
        <v>59610</v>
      </c>
      <c r="K284">
        <v>192</v>
      </c>
      <c r="L284" t="s">
        <v>17</v>
      </c>
      <c r="M284" t="s">
        <v>18</v>
      </c>
      <c r="N284">
        <v>7.25</v>
      </c>
    </row>
    <row r="285" spans="1:14">
      <c r="A285" t="s">
        <v>226</v>
      </c>
      <c r="B285" t="s">
        <v>34</v>
      </c>
      <c r="C285" s="1">
        <v>45740</v>
      </c>
      <c r="D285" t="s">
        <v>15</v>
      </c>
      <c r="E285" t="s">
        <v>16</v>
      </c>
      <c r="F285">
        <v>3360</v>
      </c>
      <c r="G285">
        <v>525</v>
      </c>
      <c r="H285">
        <v>500</v>
      </c>
      <c r="I285">
        <v>60480</v>
      </c>
      <c r="J285">
        <v>59610</v>
      </c>
      <c r="K285">
        <v>192</v>
      </c>
      <c r="L285" t="s">
        <v>31</v>
      </c>
      <c r="M285" t="s">
        <v>18</v>
      </c>
      <c r="N285">
        <v>7.25</v>
      </c>
    </row>
    <row r="286" spans="1:14">
      <c r="A286" t="s">
        <v>227</v>
      </c>
      <c r="B286" t="s">
        <v>25</v>
      </c>
      <c r="C286" s="1">
        <v>45569</v>
      </c>
      <c r="D286" t="s">
        <v>20</v>
      </c>
      <c r="E286" t="s">
        <v>21</v>
      </c>
      <c r="F286">
        <v>1963</v>
      </c>
      <c r="G286">
        <v>213</v>
      </c>
      <c r="H286">
        <v>19</v>
      </c>
      <c r="I286">
        <v>39260</v>
      </c>
      <c r="J286">
        <v>38771</v>
      </c>
      <c r="K286">
        <v>145</v>
      </c>
      <c r="L286" t="s">
        <v>31</v>
      </c>
      <c r="M286" t="s">
        <v>18</v>
      </c>
      <c r="N286">
        <v>5.59</v>
      </c>
    </row>
    <row r="287" spans="1:14">
      <c r="A287" t="s">
        <v>228</v>
      </c>
      <c r="B287" t="s">
        <v>25</v>
      </c>
      <c r="C287" s="1">
        <v>45629</v>
      </c>
      <c r="D287" t="s">
        <v>28</v>
      </c>
      <c r="E287" t="s">
        <v>29</v>
      </c>
      <c r="F287">
        <v>4285</v>
      </c>
      <c r="G287">
        <v>886</v>
      </c>
      <c r="H287">
        <v>376</v>
      </c>
      <c r="I287">
        <v>55705</v>
      </c>
      <c r="J287">
        <v>55556</v>
      </c>
      <c r="K287">
        <v>51</v>
      </c>
      <c r="L287" t="s">
        <v>22</v>
      </c>
      <c r="M287" t="s">
        <v>44</v>
      </c>
      <c r="N287">
        <v>9.9600000000000009</v>
      </c>
    </row>
    <row r="288" spans="1:14">
      <c r="A288" t="s">
        <v>228</v>
      </c>
      <c r="B288" t="s">
        <v>25</v>
      </c>
      <c r="C288" s="1">
        <v>45629</v>
      </c>
      <c r="D288" t="s">
        <v>28</v>
      </c>
      <c r="E288" t="s">
        <v>29</v>
      </c>
      <c r="F288">
        <v>4285</v>
      </c>
      <c r="G288">
        <v>886</v>
      </c>
      <c r="H288">
        <v>376</v>
      </c>
      <c r="I288">
        <v>55705</v>
      </c>
      <c r="J288">
        <v>55556</v>
      </c>
      <c r="K288">
        <v>51</v>
      </c>
      <c r="L288" t="s">
        <v>52</v>
      </c>
      <c r="M288" t="s">
        <v>44</v>
      </c>
      <c r="N288">
        <v>9.9600000000000009</v>
      </c>
    </row>
    <row r="289" spans="1:14">
      <c r="A289" t="s">
        <v>229</v>
      </c>
      <c r="B289" t="s">
        <v>27</v>
      </c>
      <c r="C289" s="1">
        <v>45625</v>
      </c>
      <c r="D289" t="s">
        <v>50</v>
      </c>
      <c r="E289" t="s">
        <v>51</v>
      </c>
      <c r="F289">
        <v>1176</v>
      </c>
      <c r="G289">
        <v>464</v>
      </c>
      <c r="H289">
        <v>394</v>
      </c>
      <c r="I289">
        <v>14112</v>
      </c>
      <c r="J289">
        <v>13588</v>
      </c>
      <c r="K289">
        <v>272</v>
      </c>
      <c r="L289" t="s">
        <v>52</v>
      </c>
      <c r="M289" t="s">
        <v>18</v>
      </c>
      <c r="N289">
        <v>14.41</v>
      </c>
    </row>
    <row r="290" spans="1:14">
      <c r="A290" t="s">
        <v>230</v>
      </c>
      <c r="B290" t="s">
        <v>14</v>
      </c>
      <c r="C290" s="1">
        <v>45546</v>
      </c>
      <c r="D290" t="s">
        <v>40</v>
      </c>
      <c r="E290" t="s">
        <v>41</v>
      </c>
      <c r="F290">
        <v>4858</v>
      </c>
      <c r="G290">
        <v>317</v>
      </c>
      <c r="H290">
        <v>129</v>
      </c>
      <c r="I290">
        <v>53438</v>
      </c>
      <c r="J290">
        <v>52687</v>
      </c>
      <c r="K290">
        <v>223</v>
      </c>
      <c r="L290" t="s">
        <v>52</v>
      </c>
      <c r="M290" t="s">
        <v>18</v>
      </c>
      <c r="N290">
        <v>9.93</v>
      </c>
    </row>
    <row r="291" spans="1:14">
      <c r="A291" t="s">
        <v>230</v>
      </c>
      <c r="B291" t="s">
        <v>14</v>
      </c>
      <c r="C291" s="1">
        <v>45546</v>
      </c>
      <c r="D291" t="s">
        <v>40</v>
      </c>
      <c r="E291" t="s">
        <v>41</v>
      </c>
      <c r="F291">
        <v>4858</v>
      </c>
      <c r="G291">
        <v>317</v>
      </c>
      <c r="H291">
        <v>129</v>
      </c>
      <c r="I291">
        <v>53438</v>
      </c>
      <c r="J291">
        <v>52687</v>
      </c>
      <c r="K291">
        <v>223</v>
      </c>
      <c r="L291" t="s">
        <v>37</v>
      </c>
      <c r="M291" t="s">
        <v>18</v>
      </c>
      <c r="N291">
        <v>9.93</v>
      </c>
    </row>
    <row r="292" spans="1:14">
      <c r="A292" t="s">
        <v>231</v>
      </c>
      <c r="B292" t="s">
        <v>25</v>
      </c>
      <c r="C292" s="1">
        <v>45567</v>
      </c>
      <c r="D292" t="s">
        <v>28</v>
      </c>
      <c r="E292" t="s">
        <v>29</v>
      </c>
      <c r="F292">
        <v>4350</v>
      </c>
      <c r="G292">
        <v>771</v>
      </c>
      <c r="H292">
        <v>7</v>
      </c>
      <c r="I292">
        <v>60900</v>
      </c>
      <c r="J292">
        <v>60592</v>
      </c>
      <c r="K292">
        <v>195</v>
      </c>
      <c r="L292" t="s">
        <v>52</v>
      </c>
      <c r="M292" t="s">
        <v>23</v>
      </c>
      <c r="N292">
        <v>8.42</v>
      </c>
    </row>
    <row r="293" spans="1:14">
      <c r="A293" t="s">
        <v>231</v>
      </c>
      <c r="B293" t="s">
        <v>25</v>
      </c>
      <c r="C293" s="1">
        <v>45567</v>
      </c>
      <c r="D293" t="s">
        <v>28</v>
      </c>
      <c r="E293" t="s">
        <v>29</v>
      </c>
      <c r="F293">
        <v>4350</v>
      </c>
      <c r="G293">
        <v>771</v>
      </c>
      <c r="H293">
        <v>7</v>
      </c>
      <c r="I293">
        <v>60900</v>
      </c>
      <c r="J293">
        <v>60592</v>
      </c>
      <c r="K293">
        <v>195</v>
      </c>
      <c r="L293" t="s">
        <v>31</v>
      </c>
      <c r="M293" t="s">
        <v>23</v>
      </c>
      <c r="N293">
        <v>8.42</v>
      </c>
    </row>
    <row r="294" spans="1:14">
      <c r="A294" t="s">
        <v>232</v>
      </c>
      <c r="B294" t="s">
        <v>27</v>
      </c>
      <c r="C294" s="1">
        <v>45519</v>
      </c>
      <c r="D294" t="s">
        <v>35</v>
      </c>
      <c r="E294" t="s">
        <v>36</v>
      </c>
      <c r="F294">
        <v>914</v>
      </c>
      <c r="G294">
        <v>464</v>
      </c>
      <c r="H294">
        <v>246</v>
      </c>
      <c r="I294">
        <v>11882</v>
      </c>
      <c r="J294">
        <v>11500</v>
      </c>
      <c r="K294">
        <v>282</v>
      </c>
      <c r="L294" t="s">
        <v>22</v>
      </c>
      <c r="M294" t="s">
        <v>32</v>
      </c>
      <c r="N294">
        <v>13.67</v>
      </c>
    </row>
    <row r="295" spans="1:14">
      <c r="A295" t="s">
        <v>232</v>
      </c>
      <c r="B295" t="s">
        <v>27</v>
      </c>
      <c r="C295" s="1">
        <v>45519</v>
      </c>
      <c r="D295" t="s">
        <v>35</v>
      </c>
      <c r="E295" t="s">
        <v>36</v>
      </c>
      <c r="F295">
        <v>914</v>
      </c>
      <c r="G295">
        <v>464</v>
      </c>
      <c r="H295">
        <v>246</v>
      </c>
      <c r="I295">
        <v>11882</v>
      </c>
      <c r="J295">
        <v>11500</v>
      </c>
      <c r="K295">
        <v>282</v>
      </c>
      <c r="L295" t="s">
        <v>37</v>
      </c>
      <c r="M295" t="s">
        <v>32</v>
      </c>
      <c r="N295">
        <v>13.67</v>
      </c>
    </row>
    <row r="296" spans="1:14">
      <c r="A296" t="s">
        <v>233</v>
      </c>
      <c r="B296" t="s">
        <v>27</v>
      </c>
      <c r="C296" s="1">
        <v>45645</v>
      </c>
      <c r="D296" t="s">
        <v>20</v>
      </c>
      <c r="E296" t="s">
        <v>21</v>
      </c>
      <c r="F296">
        <v>1813</v>
      </c>
      <c r="G296">
        <v>623</v>
      </c>
      <c r="H296">
        <v>72</v>
      </c>
      <c r="I296">
        <v>19943</v>
      </c>
      <c r="J296">
        <v>18959</v>
      </c>
      <c r="K296">
        <v>85</v>
      </c>
      <c r="L296" t="s">
        <v>37</v>
      </c>
      <c r="M296" t="s">
        <v>32</v>
      </c>
      <c r="N296">
        <v>12.58</v>
      </c>
    </row>
    <row r="297" spans="1:14">
      <c r="A297" t="s">
        <v>233</v>
      </c>
      <c r="B297" t="s">
        <v>27</v>
      </c>
      <c r="C297" s="1">
        <v>45645</v>
      </c>
      <c r="D297" t="s">
        <v>20</v>
      </c>
      <c r="E297" t="s">
        <v>21</v>
      </c>
      <c r="F297">
        <v>1813</v>
      </c>
      <c r="G297">
        <v>623</v>
      </c>
      <c r="H297">
        <v>72</v>
      </c>
      <c r="I297">
        <v>19943</v>
      </c>
      <c r="J297">
        <v>18959</v>
      </c>
      <c r="K297">
        <v>85</v>
      </c>
      <c r="L297" t="s">
        <v>22</v>
      </c>
      <c r="M297" t="s">
        <v>32</v>
      </c>
      <c r="N297">
        <v>12.58</v>
      </c>
    </row>
    <row r="298" spans="1:14">
      <c r="A298" t="s">
        <v>234</v>
      </c>
      <c r="B298" t="s">
        <v>14</v>
      </c>
      <c r="C298" s="1">
        <v>45587</v>
      </c>
      <c r="D298" t="s">
        <v>15</v>
      </c>
      <c r="E298" t="s">
        <v>16</v>
      </c>
      <c r="F298">
        <v>4782</v>
      </c>
      <c r="G298">
        <v>721</v>
      </c>
      <c r="H298">
        <v>82</v>
      </c>
      <c r="I298">
        <v>86076</v>
      </c>
      <c r="J298">
        <v>85339</v>
      </c>
      <c r="K298">
        <v>19</v>
      </c>
      <c r="L298" t="s">
        <v>52</v>
      </c>
      <c r="M298" t="s">
        <v>23</v>
      </c>
      <c r="N298">
        <v>6.49</v>
      </c>
    </row>
    <row r="299" spans="1:14">
      <c r="A299" t="s">
        <v>235</v>
      </c>
      <c r="B299" t="s">
        <v>14</v>
      </c>
      <c r="C299" s="1">
        <v>45549</v>
      </c>
      <c r="D299" t="s">
        <v>40</v>
      </c>
      <c r="E299" t="s">
        <v>41</v>
      </c>
      <c r="F299">
        <v>1048</v>
      </c>
      <c r="G299">
        <v>374</v>
      </c>
      <c r="H299">
        <v>450</v>
      </c>
      <c r="I299">
        <v>9432</v>
      </c>
      <c r="J299">
        <v>8882</v>
      </c>
      <c r="K299">
        <v>158</v>
      </c>
      <c r="L299" t="s">
        <v>37</v>
      </c>
      <c r="M299" t="s">
        <v>23</v>
      </c>
      <c r="N299">
        <v>19.850000000000001</v>
      </c>
    </row>
    <row r="300" spans="1:14">
      <c r="A300" t="s">
        <v>235</v>
      </c>
      <c r="B300" t="s">
        <v>14</v>
      </c>
      <c r="C300" s="1">
        <v>45549</v>
      </c>
      <c r="D300" t="s">
        <v>40</v>
      </c>
      <c r="E300" t="s">
        <v>41</v>
      </c>
      <c r="F300">
        <v>1048</v>
      </c>
      <c r="G300">
        <v>374</v>
      </c>
      <c r="H300">
        <v>450</v>
      </c>
      <c r="I300">
        <v>9432</v>
      </c>
      <c r="J300">
        <v>8882</v>
      </c>
      <c r="K300">
        <v>158</v>
      </c>
      <c r="L300" t="s">
        <v>17</v>
      </c>
      <c r="M300" t="s">
        <v>23</v>
      </c>
      <c r="N300">
        <v>19.850000000000001</v>
      </c>
    </row>
    <row r="301" spans="1:14">
      <c r="A301" t="s">
        <v>236</v>
      </c>
      <c r="B301" t="s">
        <v>25</v>
      </c>
      <c r="C301" s="1">
        <v>45626</v>
      </c>
      <c r="D301" t="s">
        <v>35</v>
      </c>
      <c r="E301" t="s">
        <v>36</v>
      </c>
      <c r="F301">
        <v>2509</v>
      </c>
      <c r="G301">
        <v>324</v>
      </c>
      <c r="H301">
        <v>171</v>
      </c>
      <c r="I301">
        <v>35126</v>
      </c>
      <c r="J301">
        <v>34685</v>
      </c>
      <c r="K301">
        <v>277</v>
      </c>
      <c r="L301" t="s">
        <v>52</v>
      </c>
      <c r="M301" t="s">
        <v>23</v>
      </c>
      <c r="N301">
        <v>8.5500000000000007</v>
      </c>
    </row>
    <row r="302" spans="1:14">
      <c r="A302" t="s">
        <v>237</v>
      </c>
      <c r="B302" t="s">
        <v>34</v>
      </c>
      <c r="C302" s="1">
        <v>45754</v>
      </c>
      <c r="D302" t="s">
        <v>15</v>
      </c>
      <c r="E302" t="s">
        <v>16</v>
      </c>
      <c r="F302">
        <v>3718</v>
      </c>
      <c r="G302">
        <v>385</v>
      </c>
      <c r="H302">
        <v>310</v>
      </c>
      <c r="I302">
        <v>70642</v>
      </c>
      <c r="J302">
        <v>69749</v>
      </c>
      <c r="K302">
        <v>233</v>
      </c>
      <c r="L302" t="s">
        <v>37</v>
      </c>
      <c r="M302" t="s">
        <v>18</v>
      </c>
      <c r="N302">
        <v>6.25</v>
      </c>
    </row>
    <row r="303" spans="1:14">
      <c r="A303" t="s">
        <v>238</v>
      </c>
      <c r="B303" t="s">
        <v>14</v>
      </c>
      <c r="C303" s="1">
        <v>45672</v>
      </c>
      <c r="D303" t="s">
        <v>15</v>
      </c>
      <c r="E303" t="s">
        <v>16</v>
      </c>
      <c r="F303">
        <v>802</v>
      </c>
      <c r="G303">
        <v>262</v>
      </c>
      <c r="H303">
        <v>244</v>
      </c>
      <c r="I303">
        <v>14436</v>
      </c>
      <c r="J303">
        <v>14280</v>
      </c>
      <c r="K303">
        <v>49</v>
      </c>
      <c r="L303" t="s">
        <v>17</v>
      </c>
      <c r="M303" t="s">
        <v>44</v>
      </c>
      <c r="N303">
        <v>9.06</v>
      </c>
    </row>
    <row r="304" spans="1:14">
      <c r="A304" t="s">
        <v>238</v>
      </c>
      <c r="B304" t="s">
        <v>14</v>
      </c>
      <c r="C304" s="1">
        <v>45672</v>
      </c>
      <c r="D304" t="s">
        <v>15</v>
      </c>
      <c r="E304" t="s">
        <v>16</v>
      </c>
      <c r="F304">
        <v>802</v>
      </c>
      <c r="G304">
        <v>262</v>
      </c>
      <c r="H304">
        <v>244</v>
      </c>
      <c r="I304">
        <v>14436</v>
      </c>
      <c r="J304">
        <v>14280</v>
      </c>
      <c r="K304">
        <v>49</v>
      </c>
      <c r="L304" t="s">
        <v>52</v>
      </c>
      <c r="M304" t="s">
        <v>44</v>
      </c>
      <c r="N304">
        <v>9.06</v>
      </c>
    </row>
    <row r="305" spans="1:14">
      <c r="A305" t="s">
        <v>239</v>
      </c>
      <c r="B305" t="s">
        <v>34</v>
      </c>
      <c r="C305" s="1">
        <v>45445</v>
      </c>
      <c r="D305" t="s">
        <v>40</v>
      </c>
      <c r="E305" t="s">
        <v>41</v>
      </c>
      <c r="F305">
        <v>1871</v>
      </c>
      <c r="G305">
        <v>252</v>
      </c>
      <c r="H305">
        <v>335</v>
      </c>
      <c r="I305">
        <v>29936</v>
      </c>
      <c r="J305">
        <v>29576</v>
      </c>
      <c r="K305">
        <v>288</v>
      </c>
      <c r="L305" t="s">
        <v>37</v>
      </c>
      <c r="M305" t="s">
        <v>23</v>
      </c>
      <c r="N305">
        <v>8.2100000000000009</v>
      </c>
    </row>
    <row r="306" spans="1:14">
      <c r="A306" t="s">
        <v>240</v>
      </c>
      <c r="B306" t="s">
        <v>27</v>
      </c>
      <c r="C306" s="1">
        <v>45617</v>
      </c>
      <c r="D306" t="s">
        <v>35</v>
      </c>
      <c r="E306" t="s">
        <v>36</v>
      </c>
      <c r="F306">
        <v>3773</v>
      </c>
      <c r="G306">
        <v>299</v>
      </c>
      <c r="H306">
        <v>38</v>
      </c>
      <c r="I306">
        <v>71687</v>
      </c>
      <c r="J306">
        <v>71447</v>
      </c>
      <c r="K306">
        <v>286</v>
      </c>
      <c r="L306" t="s">
        <v>37</v>
      </c>
      <c r="M306" t="s">
        <v>44</v>
      </c>
      <c r="N306">
        <v>5.73</v>
      </c>
    </row>
    <row r="307" spans="1:14">
      <c r="A307" t="s">
        <v>241</v>
      </c>
      <c r="B307" t="s">
        <v>27</v>
      </c>
      <c r="C307" s="1">
        <v>45658</v>
      </c>
      <c r="D307" t="s">
        <v>35</v>
      </c>
      <c r="E307" t="s">
        <v>36</v>
      </c>
      <c r="F307">
        <v>2234</v>
      </c>
      <c r="G307">
        <v>653</v>
      </c>
      <c r="H307">
        <v>432</v>
      </c>
      <c r="I307">
        <v>11170</v>
      </c>
      <c r="J307">
        <v>10569</v>
      </c>
      <c r="K307">
        <v>198</v>
      </c>
      <c r="L307" t="s">
        <v>52</v>
      </c>
      <c r="M307" t="s">
        <v>44</v>
      </c>
      <c r="N307">
        <v>29.71</v>
      </c>
    </row>
    <row r="308" spans="1:14">
      <c r="A308" t="s">
        <v>241</v>
      </c>
      <c r="B308" t="s">
        <v>27</v>
      </c>
      <c r="C308" s="1">
        <v>45658</v>
      </c>
      <c r="D308" t="s">
        <v>35</v>
      </c>
      <c r="E308" t="s">
        <v>36</v>
      </c>
      <c r="F308">
        <v>2234</v>
      </c>
      <c r="G308">
        <v>653</v>
      </c>
      <c r="H308">
        <v>432</v>
      </c>
      <c r="I308">
        <v>11170</v>
      </c>
      <c r="J308">
        <v>10569</v>
      </c>
      <c r="K308">
        <v>198</v>
      </c>
      <c r="L308" t="s">
        <v>31</v>
      </c>
      <c r="M308" t="s">
        <v>44</v>
      </c>
      <c r="N308">
        <v>29.71</v>
      </c>
    </row>
    <row r="309" spans="1:14">
      <c r="A309" t="s">
        <v>242</v>
      </c>
      <c r="B309" t="s">
        <v>14</v>
      </c>
      <c r="C309" s="1">
        <v>45771</v>
      </c>
      <c r="D309" t="s">
        <v>50</v>
      </c>
      <c r="E309" t="s">
        <v>51</v>
      </c>
      <c r="F309">
        <v>3820</v>
      </c>
      <c r="G309">
        <v>697</v>
      </c>
      <c r="H309">
        <v>268</v>
      </c>
      <c r="I309">
        <v>45840</v>
      </c>
      <c r="J309">
        <v>45631</v>
      </c>
      <c r="K309">
        <v>171</v>
      </c>
      <c r="L309" t="s">
        <v>31</v>
      </c>
      <c r="M309" t="s">
        <v>18</v>
      </c>
      <c r="N309">
        <v>10.44</v>
      </c>
    </row>
    <row r="310" spans="1:14">
      <c r="A310" t="s">
        <v>242</v>
      </c>
      <c r="B310" t="s">
        <v>14</v>
      </c>
      <c r="C310" s="1">
        <v>45771</v>
      </c>
      <c r="D310" t="s">
        <v>50</v>
      </c>
      <c r="E310" t="s">
        <v>51</v>
      </c>
      <c r="F310">
        <v>3820</v>
      </c>
      <c r="G310">
        <v>697</v>
      </c>
      <c r="H310">
        <v>268</v>
      </c>
      <c r="I310">
        <v>45840</v>
      </c>
      <c r="J310">
        <v>45631</v>
      </c>
      <c r="K310">
        <v>171</v>
      </c>
      <c r="L310" t="s">
        <v>52</v>
      </c>
      <c r="M310" t="s">
        <v>18</v>
      </c>
      <c r="N310">
        <v>10.44</v>
      </c>
    </row>
    <row r="311" spans="1:14">
      <c r="A311" t="s">
        <v>243</v>
      </c>
      <c r="B311" t="s">
        <v>14</v>
      </c>
      <c r="C311" s="1">
        <v>45467</v>
      </c>
      <c r="D311" t="s">
        <v>20</v>
      </c>
      <c r="E311" t="s">
        <v>21</v>
      </c>
      <c r="F311">
        <v>941</v>
      </c>
      <c r="G311">
        <v>121</v>
      </c>
      <c r="H311">
        <v>458</v>
      </c>
      <c r="I311">
        <v>14115</v>
      </c>
      <c r="J311">
        <v>13838</v>
      </c>
      <c r="K311">
        <v>87</v>
      </c>
      <c r="L311" t="s">
        <v>22</v>
      </c>
      <c r="M311" t="s">
        <v>23</v>
      </c>
      <c r="N311">
        <v>10.77</v>
      </c>
    </row>
    <row r="312" spans="1:14">
      <c r="A312" t="s">
        <v>243</v>
      </c>
      <c r="B312" t="s">
        <v>14</v>
      </c>
      <c r="C312" s="1">
        <v>45467</v>
      </c>
      <c r="D312" t="s">
        <v>20</v>
      </c>
      <c r="E312" t="s">
        <v>21</v>
      </c>
      <c r="F312">
        <v>941</v>
      </c>
      <c r="G312">
        <v>121</v>
      </c>
      <c r="H312">
        <v>458</v>
      </c>
      <c r="I312">
        <v>14115</v>
      </c>
      <c r="J312">
        <v>13838</v>
      </c>
      <c r="K312">
        <v>87</v>
      </c>
      <c r="L312" t="s">
        <v>17</v>
      </c>
      <c r="M312" t="s">
        <v>23</v>
      </c>
      <c r="N312">
        <v>10.77</v>
      </c>
    </row>
    <row r="313" spans="1:14">
      <c r="A313" t="s">
        <v>244</v>
      </c>
      <c r="B313" t="s">
        <v>14</v>
      </c>
      <c r="C313" s="1">
        <v>45655</v>
      </c>
      <c r="D313" t="s">
        <v>35</v>
      </c>
      <c r="E313" t="s">
        <v>36</v>
      </c>
      <c r="F313">
        <v>4274</v>
      </c>
      <c r="G313">
        <v>340</v>
      </c>
      <c r="H313">
        <v>281</v>
      </c>
      <c r="I313">
        <v>34192</v>
      </c>
      <c r="J313">
        <v>33446</v>
      </c>
      <c r="K313">
        <v>129</v>
      </c>
      <c r="L313" t="s">
        <v>31</v>
      </c>
      <c r="M313" t="s">
        <v>32</v>
      </c>
      <c r="N313">
        <v>14.32</v>
      </c>
    </row>
    <row r="314" spans="1:14">
      <c r="A314" t="s">
        <v>244</v>
      </c>
      <c r="B314" t="s">
        <v>14</v>
      </c>
      <c r="C314" s="1">
        <v>45655</v>
      </c>
      <c r="D314" t="s">
        <v>35</v>
      </c>
      <c r="E314" t="s">
        <v>36</v>
      </c>
      <c r="F314">
        <v>4274</v>
      </c>
      <c r="G314">
        <v>340</v>
      </c>
      <c r="H314">
        <v>281</v>
      </c>
      <c r="I314">
        <v>34192</v>
      </c>
      <c r="J314">
        <v>33446</v>
      </c>
      <c r="K314">
        <v>129</v>
      </c>
      <c r="L314" t="s">
        <v>52</v>
      </c>
      <c r="M314" t="s">
        <v>32</v>
      </c>
      <c r="N314">
        <v>14.32</v>
      </c>
    </row>
    <row r="315" spans="1:14">
      <c r="A315" t="s">
        <v>245</v>
      </c>
      <c r="B315" t="s">
        <v>25</v>
      </c>
      <c r="C315" s="1">
        <v>45467</v>
      </c>
      <c r="D315" t="s">
        <v>50</v>
      </c>
      <c r="E315" t="s">
        <v>51</v>
      </c>
      <c r="F315">
        <v>2949</v>
      </c>
      <c r="G315">
        <v>476</v>
      </c>
      <c r="H315">
        <v>403</v>
      </c>
      <c r="I315">
        <v>44235</v>
      </c>
      <c r="J315">
        <v>43705</v>
      </c>
      <c r="K315">
        <v>135</v>
      </c>
      <c r="L315" t="s">
        <v>37</v>
      </c>
      <c r="M315" t="s">
        <v>18</v>
      </c>
      <c r="N315">
        <v>8.65</v>
      </c>
    </row>
    <row r="316" spans="1:14">
      <c r="A316" t="s">
        <v>245</v>
      </c>
      <c r="B316" t="s">
        <v>25</v>
      </c>
      <c r="C316" s="1">
        <v>45467</v>
      </c>
      <c r="D316" t="s">
        <v>50</v>
      </c>
      <c r="E316" t="s">
        <v>51</v>
      </c>
      <c r="F316">
        <v>2949</v>
      </c>
      <c r="G316">
        <v>476</v>
      </c>
      <c r="H316">
        <v>403</v>
      </c>
      <c r="I316">
        <v>44235</v>
      </c>
      <c r="J316">
        <v>43705</v>
      </c>
      <c r="K316">
        <v>135</v>
      </c>
      <c r="L316" t="s">
        <v>52</v>
      </c>
      <c r="M316" t="s">
        <v>18</v>
      </c>
      <c r="N316">
        <v>8.65</v>
      </c>
    </row>
    <row r="317" spans="1:14">
      <c r="A317" t="s">
        <v>246</v>
      </c>
      <c r="B317" t="s">
        <v>14</v>
      </c>
      <c r="C317" s="1">
        <v>45735</v>
      </c>
      <c r="D317" t="s">
        <v>50</v>
      </c>
      <c r="E317" t="s">
        <v>51</v>
      </c>
      <c r="F317">
        <v>3160</v>
      </c>
      <c r="G317">
        <v>204</v>
      </c>
      <c r="H317">
        <v>297</v>
      </c>
      <c r="I317">
        <v>44240</v>
      </c>
      <c r="J317">
        <v>43666</v>
      </c>
      <c r="K317">
        <v>49</v>
      </c>
      <c r="L317" t="s">
        <v>31</v>
      </c>
      <c r="M317" t="s">
        <v>18</v>
      </c>
      <c r="N317">
        <v>8.2799999999999994</v>
      </c>
    </row>
    <row r="318" spans="1:14">
      <c r="A318" t="s">
        <v>246</v>
      </c>
      <c r="B318" t="s">
        <v>14</v>
      </c>
      <c r="C318" s="1">
        <v>45735</v>
      </c>
      <c r="D318" t="s">
        <v>50</v>
      </c>
      <c r="E318" t="s">
        <v>51</v>
      </c>
      <c r="F318">
        <v>3160</v>
      </c>
      <c r="G318">
        <v>204</v>
      </c>
      <c r="H318">
        <v>297</v>
      </c>
      <c r="I318">
        <v>44240</v>
      </c>
      <c r="J318">
        <v>43666</v>
      </c>
      <c r="K318">
        <v>49</v>
      </c>
      <c r="L318" t="s">
        <v>37</v>
      </c>
      <c r="M318" t="s">
        <v>18</v>
      </c>
      <c r="N318">
        <v>8.2799999999999994</v>
      </c>
    </row>
    <row r="319" spans="1:14">
      <c r="A319" t="s">
        <v>247</v>
      </c>
      <c r="B319" t="s">
        <v>25</v>
      </c>
      <c r="C319" s="1">
        <v>45707</v>
      </c>
      <c r="D319" t="s">
        <v>40</v>
      </c>
      <c r="E319" t="s">
        <v>41</v>
      </c>
      <c r="F319">
        <v>257</v>
      </c>
      <c r="G319">
        <v>966</v>
      </c>
      <c r="H319">
        <v>398</v>
      </c>
      <c r="I319">
        <v>3341</v>
      </c>
      <c r="J319">
        <v>2753</v>
      </c>
      <c r="K319">
        <v>287</v>
      </c>
      <c r="L319" t="s">
        <v>37</v>
      </c>
      <c r="M319" t="s">
        <v>18</v>
      </c>
      <c r="N319">
        <v>48.52</v>
      </c>
    </row>
    <row r="320" spans="1:14">
      <c r="A320" t="s">
        <v>247</v>
      </c>
      <c r="B320" t="s">
        <v>25</v>
      </c>
      <c r="C320" s="1">
        <v>45707</v>
      </c>
      <c r="D320" t="s">
        <v>40</v>
      </c>
      <c r="E320" t="s">
        <v>41</v>
      </c>
      <c r="F320">
        <v>257</v>
      </c>
      <c r="G320">
        <v>966</v>
      </c>
      <c r="H320">
        <v>398</v>
      </c>
      <c r="I320">
        <v>3341</v>
      </c>
      <c r="J320">
        <v>2753</v>
      </c>
      <c r="K320">
        <v>287</v>
      </c>
      <c r="L320" t="s">
        <v>17</v>
      </c>
      <c r="M320" t="s">
        <v>18</v>
      </c>
      <c r="N320">
        <v>48.52</v>
      </c>
    </row>
    <row r="321" spans="1:14">
      <c r="A321" t="s">
        <v>248</v>
      </c>
      <c r="B321" t="s">
        <v>14</v>
      </c>
      <c r="C321" s="1">
        <v>45491</v>
      </c>
      <c r="D321" t="s">
        <v>35</v>
      </c>
      <c r="E321" t="s">
        <v>36</v>
      </c>
      <c r="F321">
        <v>2120</v>
      </c>
      <c r="G321">
        <v>38</v>
      </c>
      <c r="H321">
        <v>212</v>
      </c>
      <c r="I321">
        <v>12720</v>
      </c>
      <c r="J321">
        <v>12564</v>
      </c>
      <c r="K321">
        <v>21</v>
      </c>
      <c r="L321" t="s">
        <v>37</v>
      </c>
      <c r="M321" t="s">
        <v>18</v>
      </c>
      <c r="N321">
        <v>18.63</v>
      </c>
    </row>
    <row r="322" spans="1:14">
      <c r="A322" t="s">
        <v>248</v>
      </c>
      <c r="B322" t="s">
        <v>14</v>
      </c>
      <c r="C322" s="1">
        <v>45491</v>
      </c>
      <c r="D322" t="s">
        <v>35</v>
      </c>
      <c r="E322" t="s">
        <v>36</v>
      </c>
      <c r="F322">
        <v>2120</v>
      </c>
      <c r="G322">
        <v>38</v>
      </c>
      <c r="H322">
        <v>212</v>
      </c>
      <c r="I322">
        <v>12720</v>
      </c>
      <c r="J322">
        <v>12564</v>
      </c>
      <c r="K322">
        <v>21</v>
      </c>
      <c r="L322" t="s">
        <v>17</v>
      </c>
      <c r="M322" t="s">
        <v>18</v>
      </c>
      <c r="N322">
        <v>18.63</v>
      </c>
    </row>
    <row r="323" spans="1:14">
      <c r="A323" t="s">
        <v>249</v>
      </c>
      <c r="B323" t="s">
        <v>25</v>
      </c>
      <c r="C323" s="1">
        <v>45719</v>
      </c>
      <c r="D323" t="s">
        <v>50</v>
      </c>
      <c r="E323" t="s">
        <v>51</v>
      </c>
      <c r="F323">
        <v>3874</v>
      </c>
      <c r="G323">
        <v>884</v>
      </c>
      <c r="H323">
        <v>19</v>
      </c>
      <c r="I323">
        <v>38740</v>
      </c>
      <c r="J323">
        <v>38552</v>
      </c>
      <c r="K323">
        <v>219</v>
      </c>
      <c r="L323" t="s">
        <v>31</v>
      </c>
      <c r="M323" t="s">
        <v>44</v>
      </c>
      <c r="N323">
        <v>12.33</v>
      </c>
    </row>
    <row r="324" spans="1:14">
      <c r="A324" t="s">
        <v>250</v>
      </c>
      <c r="B324" t="s">
        <v>34</v>
      </c>
      <c r="C324" s="1">
        <v>45778</v>
      </c>
      <c r="D324" t="s">
        <v>35</v>
      </c>
      <c r="E324" t="s">
        <v>36</v>
      </c>
      <c r="F324">
        <v>2696</v>
      </c>
      <c r="G324">
        <v>628</v>
      </c>
      <c r="H324">
        <v>443</v>
      </c>
      <c r="I324">
        <v>45832</v>
      </c>
      <c r="J324">
        <v>45632</v>
      </c>
      <c r="K324">
        <v>248</v>
      </c>
      <c r="L324" t="s">
        <v>17</v>
      </c>
      <c r="M324" t="s">
        <v>32</v>
      </c>
      <c r="N324">
        <v>8.2200000000000006</v>
      </c>
    </row>
    <row r="325" spans="1:14">
      <c r="A325" t="s">
        <v>251</v>
      </c>
      <c r="B325" t="s">
        <v>27</v>
      </c>
      <c r="C325" s="1">
        <v>45649</v>
      </c>
      <c r="D325" t="s">
        <v>40</v>
      </c>
      <c r="E325" t="s">
        <v>41</v>
      </c>
      <c r="F325">
        <v>521</v>
      </c>
      <c r="G325">
        <v>746</v>
      </c>
      <c r="H325">
        <v>315</v>
      </c>
      <c r="I325">
        <v>4168</v>
      </c>
      <c r="J325">
        <v>3399</v>
      </c>
      <c r="K325">
        <v>282</v>
      </c>
      <c r="L325" t="s">
        <v>17</v>
      </c>
      <c r="M325" t="s">
        <v>18</v>
      </c>
      <c r="N325">
        <v>37.96</v>
      </c>
    </row>
    <row r="326" spans="1:14">
      <c r="A326" t="s">
        <v>252</v>
      </c>
      <c r="B326" t="s">
        <v>34</v>
      </c>
      <c r="C326" s="1">
        <v>45783</v>
      </c>
      <c r="D326" t="s">
        <v>40</v>
      </c>
      <c r="E326" t="s">
        <v>41</v>
      </c>
      <c r="F326">
        <v>4872</v>
      </c>
      <c r="G326">
        <v>925</v>
      </c>
      <c r="H326">
        <v>176</v>
      </c>
      <c r="I326">
        <v>82824</v>
      </c>
      <c r="J326">
        <v>82543</v>
      </c>
      <c r="K326">
        <v>89</v>
      </c>
      <c r="L326" t="s">
        <v>17</v>
      </c>
      <c r="M326" t="s">
        <v>18</v>
      </c>
      <c r="N326">
        <v>7.21</v>
      </c>
    </row>
    <row r="327" spans="1:14">
      <c r="A327" t="s">
        <v>252</v>
      </c>
      <c r="B327" t="s">
        <v>34</v>
      </c>
      <c r="C327" s="1">
        <v>45783</v>
      </c>
      <c r="D327" t="s">
        <v>40</v>
      </c>
      <c r="E327" t="s">
        <v>41</v>
      </c>
      <c r="F327">
        <v>4872</v>
      </c>
      <c r="G327">
        <v>925</v>
      </c>
      <c r="H327">
        <v>176</v>
      </c>
      <c r="I327">
        <v>82824</v>
      </c>
      <c r="J327">
        <v>82543</v>
      </c>
      <c r="K327">
        <v>89</v>
      </c>
      <c r="L327" t="s">
        <v>37</v>
      </c>
      <c r="M327" t="s">
        <v>18</v>
      </c>
      <c r="N327">
        <v>7.21</v>
      </c>
    </row>
    <row r="328" spans="1:14">
      <c r="A328" t="s">
        <v>253</v>
      </c>
      <c r="B328" t="s">
        <v>25</v>
      </c>
      <c r="C328" s="1">
        <v>45502</v>
      </c>
      <c r="D328" t="s">
        <v>28</v>
      </c>
      <c r="E328" t="s">
        <v>29</v>
      </c>
      <c r="F328">
        <v>1509</v>
      </c>
      <c r="G328">
        <v>88</v>
      </c>
      <c r="H328">
        <v>163</v>
      </c>
      <c r="I328">
        <v>30180</v>
      </c>
      <c r="J328">
        <v>29689</v>
      </c>
      <c r="K328">
        <v>119</v>
      </c>
      <c r="L328" t="s">
        <v>37</v>
      </c>
      <c r="M328" t="s">
        <v>18</v>
      </c>
      <c r="N328">
        <v>5.83</v>
      </c>
    </row>
    <row r="329" spans="1:14">
      <c r="A329" t="s">
        <v>254</v>
      </c>
      <c r="B329" t="s">
        <v>34</v>
      </c>
      <c r="C329" s="1">
        <v>45629</v>
      </c>
      <c r="D329" t="s">
        <v>40</v>
      </c>
      <c r="E329" t="s">
        <v>41</v>
      </c>
      <c r="F329">
        <v>4606</v>
      </c>
      <c r="G329">
        <v>931</v>
      </c>
      <c r="H329">
        <v>230</v>
      </c>
      <c r="I329">
        <v>92120</v>
      </c>
      <c r="J329">
        <v>91440</v>
      </c>
      <c r="K329">
        <v>56</v>
      </c>
      <c r="L329" t="s">
        <v>52</v>
      </c>
      <c r="M329" t="s">
        <v>32</v>
      </c>
      <c r="N329">
        <v>6.26</v>
      </c>
    </row>
    <row r="330" spans="1:14">
      <c r="A330" t="s">
        <v>254</v>
      </c>
      <c r="B330" t="s">
        <v>34</v>
      </c>
      <c r="C330" s="1">
        <v>45629</v>
      </c>
      <c r="D330" t="s">
        <v>40</v>
      </c>
      <c r="E330" t="s">
        <v>41</v>
      </c>
      <c r="F330">
        <v>4606</v>
      </c>
      <c r="G330">
        <v>931</v>
      </c>
      <c r="H330">
        <v>230</v>
      </c>
      <c r="I330">
        <v>92120</v>
      </c>
      <c r="J330">
        <v>91440</v>
      </c>
      <c r="K330">
        <v>56</v>
      </c>
      <c r="L330" t="s">
        <v>22</v>
      </c>
      <c r="M330" t="s">
        <v>32</v>
      </c>
      <c r="N330">
        <v>6.26</v>
      </c>
    </row>
    <row r="331" spans="1:14">
      <c r="A331" t="s">
        <v>255</v>
      </c>
      <c r="B331" t="s">
        <v>34</v>
      </c>
      <c r="C331" s="1">
        <v>45454</v>
      </c>
      <c r="D331" t="s">
        <v>35</v>
      </c>
      <c r="E331" t="s">
        <v>36</v>
      </c>
      <c r="F331">
        <v>1869</v>
      </c>
      <c r="G331">
        <v>453</v>
      </c>
      <c r="H331">
        <v>490</v>
      </c>
      <c r="I331">
        <v>14952</v>
      </c>
      <c r="J331">
        <v>14309</v>
      </c>
      <c r="K331">
        <v>275</v>
      </c>
      <c r="L331" t="s">
        <v>52</v>
      </c>
      <c r="M331" t="s">
        <v>18</v>
      </c>
      <c r="N331">
        <v>18.809999999999999</v>
      </c>
    </row>
    <row r="332" spans="1:14">
      <c r="A332" t="s">
        <v>255</v>
      </c>
      <c r="B332" t="s">
        <v>34</v>
      </c>
      <c r="C332" s="1">
        <v>45454</v>
      </c>
      <c r="D332" t="s">
        <v>35</v>
      </c>
      <c r="E332" t="s">
        <v>36</v>
      </c>
      <c r="F332">
        <v>1869</v>
      </c>
      <c r="G332">
        <v>453</v>
      </c>
      <c r="H332">
        <v>490</v>
      </c>
      <c r="I332">
        <v>14952</v>
      </c>
      <c r="J332">
        <v>14309</v>
      </c>
      <c r="K332">
        <v>275</v>
      </c>
      <c r="L332" t="s">
        <v>31</v>
      </c>
      <c r="M332" t="s">
        <v>18</v>
      </c>
      <c r="N332">
        <v>18.809999999999999</v>
      </c>
    </row>
    <row r="333" spans="1:14">
      <c r="A333" t="s">
        <v>256</v>
      </c>
      <c r="B333" t="s">
        <v>14</v>
      </c>
      <c r="C333" s="1">
        <v>45685</v>
      </c>
      <c r="D333" t="s">
        <v>15</v>
      </c>
      <c r="E333" t="s">
        <v>16</v>
      </c>
      <c r="F333">
        <v>1188</v>
      </c>
      <c r="G333">
        <v>470</v>
      </c>
      <c r="H333">
        <v>174</v>
      </c>
      <c r="I333">
        <v>7128</v>
      </c>
      <c r="J333">
        <v>6145</v>
      </c>
      <c r="K333">
        <v>270</v>
      </c>
      <c r="L333" t="s">
        <v>31</v>
      </c>
      <c r="M333" t="s">
        <v>23</v>
      </c>
      <c r="N333">
        <v>25.7</v>
      </c>
    </row>
    <row r="334" spans="1:14">
      <c r="A334" t="s">
        <v>256</v>
      </c>
      <c r="B334" t="s">
        <v>14</v>
      </c>
      <c r="C334" s="1">
        <v>45685</v>
      </c>
      <c r="D334" t="s">
        <v>15</v>
      </c>
      <c r="E334" t="s">
        <v>16</v>
      </c>
      <c r="F334">
        <v>1188</v>
      </c>
      <c r="G334">
        <v>470</v>
      </c>
      <c r="H334">
        <v>174</v>
      </c>
      <c r="I334">
        <v>7128</v>
      </c>
      <c r="J334">
        <v>6145</v>
      </c>
      <c r="K334">
        <v>270</v>
      </c>
      <c r="L334" t="s">
        <v>22</v>
      </c>
      <c r="M334" t="s">
        <v>23</v>
      </c>
      <c r="N334">
        <v>25.7</v>
      </c>
    </row>
    <row r="335" spans="1:14">
      <c r="A335" t="s">
        <v>257</v>
      </c>
      <c r="B335" t="s">
        <v>27</v>
      </c>
      <c r="C335" s="1">
        <v>45445</v>
      </c>
      <c r="D335" t="s">
        <v>28</v>
      </c>
      <c r="E335" t="s">
        <v>29</v>
      </c>
      <c r="F335">
        <v>84</v>
      </c>
      <c r="G335">
        <v>897</v>
      </c>
      <c r="H335">
        <v>85</v>
      </c>
      <c r="I335">
        <v>588</v>
      </c>
      <c r="J335">
        <v>8</v>
      </c>
      <c r="K335">
        <v>12</v>
      </c>
      <c r="L335" t="s">
        <v>31</v>
      </c>
      <c r="M335" t="s">
        <v>23</v>
      </c>
      <c r="N335">
        <v>181.29</v>
      </c>
    </row>
    <row r="336" spans="1:14">
      <c r="A336" t="s">
        <v>258</v>
      </c>
      <c r="B336" t="s">
        <v>34</v>
      </c>
      <c r="C336" s="1">
        <v>45739</v>
      </c>
      <c r="D336" t="s">
        <v>50</v>
      </c>
      <c r="E336" t="s">
        <v>51</v>
      </c>
      <c r="F336">
        <v>4453</v>
      </c>
      <c r="G336">
        <v>111</v>
      </c>
      <c r="H336">
        <v>420</v>
      </c>
      <c r="I336">
        <v>31171</v>
      </c>
      <c r="J336">
        <v>30565</v>
      </c>
      <c r="K336">
        <v>23</v>
      </c>
      <c r="L336" t="s">
        <v>37</v>
      </c>
      <c r="M336" t="s">
        <v>44</v>
      </c>
      <c r="N336">
        <v>15.99</v>
      </c>
    </row>
    <row r="337" spans="1:14">
      <c r="A337" t="s">
        <v>258</v>
      </c>
      <c r="B337" t="s">
        <v>34</v>
      </c>
      <c r="C337" s="1">
        <v>45739</v>
      </c>
      <c r="D337" t="s">
        <v>50</v>
      </c>
      <c r="E337" t="s">
        <v>51</v>
      </c>
      <c r="F337">
        <v>4453</v>
      </c>
      <c r="G337">
        <v>111</v>
      </c>
      <c r="H337">
        <v>420</v>
      </c>
      <c r="I337">
        <v>31171</v>
      </c>
      <c r="J337">
        <v>30565</v>
      </c>
      <c r="K337">
        <v>23</v>
      </c>
      <c r="L337" t="s">
        <v>22</v>
      </c>
      <c r="M337" t="s">
        <v>44</v>
      </c>
      <c r="N337">
        <v>15.99</v>
      </c>
    </row>
    <row r="338" spans="1:14">
      <c r="A338" t="s">
        <v>259</v>
      </c>
      <c r="B338" t="s">
        <v>34</v>
      </c>
      <c r="C338" s="1">
        <v>45573</v>
      </c>
      <c r="D338" t="s">
        <v>15</v>
      </c>
      <c r="E338" t="s">
        <v>16</v>
      </c>
      <c r="F338">
        <v>1814</v>
      </c>
      <c r="G338">
        <v>653</v>
      </c>
      <c r="H338">
        <v>363</v>
      </c>
      <c r="I338">
        <v>25396</v>
      </c>
      <c r="J338">
        <v>25286</v>
      </c>
      <c r="K338">
        <v>39</v>
      </c>
      <c r="L338" t="s">
        <v>31</v>
      </c>
      <c r="M338" t="s">
        <v>18</v>
      </c>
      <c r="N338">
        <v>11.14</v>
      </c>
    </row>
    <row r="339" spans="1:14">
      <c r="A339" t="s">
        <v>260</v>
      </c>
      <c r="B339" t="s">
        <v>14</v>
      </c>
      <c r="C339" s="1">
        <v>45608</v>
      </c>
      <c r="D339" t="s">
        <v>40</v>
      </c>
      <c r="E339" t="s">
        <v>41</v>
      </c>
      <c r="F339">
        <v>3338</v>
      </c>
      <c r="G339">
        <v>277</v>
      </c>
      <c r="H339">
        <v>118</v>
      </c>
      <c r="I339">
        <v>60084</v>
      </c>
      <c r="J339">
        <v>59842</v>
      </c>
      <c r="K339">
        <v>252</v>
      </c>
      <c r="L339" t="s">
        <v>31</v>
      </c>
      <c r="M339" t="s">
        <v>18</v>
      </c>
      <c r="N339">
        <v>6.21</v>
      </c>
    </row>
    <row r="340" spans="1:14">
      <c r="A340" t="s">
        <v>261</v>
      </c>
      <c r="B340" t="s">
        <v>34</v>
      </c>
      <c r="C340" s="1">
        <v>45790</v>
      </c>
      <c r="D340" t="s">
        <v>40</v>
      </c>
      <c r="E340" t="s">
        <v>41</v>
      </c>
      <c r="F340">
        <v>602</v>
      </c>
      <c r="G340">
        <v>594</v>
      </c>
      <c r="H340">
        <v>156</v>
      </c>
      <c r="I340">
        <v>4214</v>
      </c>
      <c r="J340">
        <v>3363</v>
      </c>
      <c r="K340">
        <v>164</v>
      </c>
      <c r="L340" t="s">
        <v>17</v>
      </c>
      <c r="M340" t="s">
        <v>32</v>
      </c>
      <c r="N340">
        <v>32.08</v>
      </c>
    </row>
    <row r="341" spans="1:14">
      <c r="A341" t="s">
        <v>262</v>
      </c>
      <c r="B341" t="s">
        <v>14</v>
      </c>
      <c r="C341" s="1">
        <v>45463</v>
      </c>
      <c r="D341" t="s">
        <v>35</v>
      </c>
      <c r="E341" t="s">
        <v>36</v>
      </c>
      <c r="F341">
        <v>4672</v>
      </c>
      <c r="G341">
        <v>325</v>
      </c>
      <c r="H341">
        <v>32</v>
      </c>
      <c r="I341">
        <v>88768</v>
      </c>
      <c r="J341">
        <v>87833</v>
      </c>
      <c r="K341">
        <v>118</v>
      </c>
      <c r="L341" t="s">
        <v>52</v>
      </c>
      <c r="M341" t="s">
        <v>32</v>
      </c>
      <c r="N341">
        <v>5.67</v>
      </c>
    </row>
    <row r="342" spans="1:14">
      <c r="A342" t="s">
        <v>262</v>
      </c>
      <c r="B342" t="s">
        <v>14</v>
      </c>
      <c r="C342" s="1">
        <v>45463</v>
      </c>
      <c r="D342" t="s">
        <v>35</v>
      </c>
      <c r="E342" t="s">
        <v>36</v>
      </c>
      <c r="F342">
        <v>4672</v>
      </c>
      <c r="G342">
        <v>325</v>
      </c>
      <c r="H342">
        <v>32</v>
      </c>
      <c r="I342">
        <v>88768</v>
      </c>
      <c r="J342">
        <v>87833</v>
      </c>
      <c r="K342">
        <v>118</v>
      </c>
      <c r="L342" t="s">
        <v>17</v>
      </c>
      <c r="M342" t="s">
        <v>32</v>
      </c>
      <c r="N342">
        <v>5.67</v>
      </c>
    </row>
    <row r="343" spans="1:14">
      <c r="A343" t="s">
        <v>263</v>
      </c>
      <c r="B343" t="s">
        <v>27</v>
      </c>
      <c r="C343" s="1">
        <v>45511</v>
      </c>
      <c r="D343" t="s">
        <v>35</v>
      </c>
      <c r="E343" t="s">
        <v>36</v>
      </c>
      <c r="F343">
        <v>1741</v>
      </c>
      <c r="G343">
        <v>164</v>
      </c>
      <c r="H343">
        <v>318</v>
      </c>
      <c r="I343">
        <v>8705</v>
      </c>
      <c r="J343">
        <v>8272</v>
      </c>
      <c r="K343">
        <v>121</v>
      </c>
      <c r="L343" t="s">
        <v>17</v>
      </c>
      <c r="M343" t="s">
        <v>23</v>
      </c>
      <c r="N343">
        <v>25.54</v>
      </c>
    </row>
    <row r="344" spans="1:14">
      <c r="A344" t="s">
        <v>264</v>
      </c>
      <c r="B344" t="s">
        <v>27</v>
      </c>
      <c r="C344" s="1">
        <v>45455</v>
      </c>
      <c r="D344" t="s">
        <v>20</v>
      </c>
      <c r="E344" t="s">
        <v>21</v>
      </c>
      <c r="F344">
        <v>246</v>
      </c>
      <c r="G344">
        <v>149</v>
      </c>
      <c r="H344">
        <v>130</v>
      </c>
      <c r="I344">
        <v>4674</v>
      </c>
      <c r="J344">
        <v>4390</v>
      </c>
      <c r="K344">
        <v>217</v>
      </c>
      <c r="L344" t="s">
        <v>37</v>
      </c>
      <c r="M344" t="s">
        <v>23</v>
      </c>
      <c r="N344">
        <v>11.23</v>
      </c>
    </row>
    <row r="345" spans="1:14">
      <c r="A345" t="s">
        <v>264</v>
      </c>
      <c r="B345" t="s">
        <v>27</v>
      </c>
      <c r="C345" s="1">
        <v>45455</v>
      </c>
      <c r="D345" t="s">
        <v>20</v>
      </c>
      <c r="E345" t="s">
        <v>21</v>
      </c>
      <c r="F345">
        <v>246</v>
      </c>
      <c r="G345">
        <v>149</v>
      </c>
      <c r="H345">
        <v>130</v>
      </c>
      <c r="I345">
        <v>4674</v>
      </c>
      <c r="J345">
        <v>4390</v>
      </c>
      <c r="K345">
        <v>217</v>
      </c>
      <c r="L345" t="s">
        <v>52</v>
      </c>
      <c r="M345" t="s">
        <v>23</v>
      </c>
      <c r="N345">
        <v>11.23</v>
      </c>
    </row>
    <row r="346" spans="1:14">
      <c r="A346" t="s">
        <v>265</v>
      </c>
      <c r="B346" t="s">
        <v>27</v>
      </c>
      <c r="C346" s="1">
        <v>45474</v>
      </c>
      <c r="D346" t="s">
        <v>28</v>
      </c>
      <c r="E346" t="s">
        <v>29</v>
      </c>
      <c r="F346">
        <v>4808</v>
      </c>
      <c r="G346">
        <v>772</v>
      </c>
      <c r="H346">
        <v>320</v>
      </c>
      <c r="I346">
        <v>72120</v>
      </c>
      <c r="J346">
        <v>71696</v>
      </c>
      <c r="K346">
        <v>195</v>
      </c>
      <c r="L346" t="s">
        <v>37</v>
      </c>
      <c r="M346" t="s">
        <v>44</v>
      </c>
      <c r="N346">
        <v>8.18</v>
      </c>
    </row>
    <row r="347" spans="1:14">
      <c r="A347" t="s">
        <v>265</v>
      </c>
      <c r="B347" t="s">
        <v>27</v>
      </c>
      <c r="C347" s="1">
        <v>45474</v>
      </c>
      <c r="D347" t="s">
        <v>28</v>
      </c>
      <c r="E347" t="s">
        <v>29</v>
      </c>
      <c r="F347">
        <v>4808</v>
      </c>
      <c r="G347">
        <v>772</v>
      </c>
      <c r="H347">
        <v>320</v>
      </c>
      <c r="I347">
        <v>72120</v>
      </c>
      <c r="J347">
        <v>71696</v>
      </c>
      <c r="K347">
        <v>195</v>
      </c>
      <c r="L347" t="s">
        <v>17</v>
      </c>
      <c r="M347" t="s">
        <v>44</v>
      </c>
      <c r="N347">
        <v>8.18</v>
      </c>
    </row>
    <row r="348" spans="1:14">
      <c r="A348" t="s">
        <v>266</v>
      </c>
      <c r="B348" t="s">
        <v>27</v>
      </c>
      <c r="C348" s="1">
        <v>45476</v>
      </c>
      <c r="D348" t="s">
        <v>35</v>
      </c>
      <c r="E348" t="s">
        <v>36</v>
      </c>
      <c r="F348">
        <v>4799</v>
      </c>
      <c r="G348">
        <v>694</v>
      </c>
      <c r="H348">
        <v>289</v>
      </c>
      <c r="I348">
        <v>43191</v>
      </c>
      <c r="J348">
        <v>42228</v>
      </c>
      <c r="K348">
        <v>118</v>
      </c>
      <c r="L348" t="s">
        <v>37</v>
      </c>
      <c r="M348" t="s">
        <v>23</v>
      </c>
      <c r="N348">
        <v>13.39</v>
      </c>
    </row>
    <row r="349" spans="1:14">
      <c r="A349" t="s">
        <v>267</v>
      </c>
      <c r="B349" t="s">
        <v>34</v>
      </c>
      <c r="C349" s="1">
        <v>45488</v>
      </c>
      <c r="D349" t="s">
        <v>15</v>
      </c>
      <c r="E349" t="s">
        <v>16</v>
      </c>
      <c r="F349">
        <v>3663</v>
      </c>
      <c r="G349">
        <v>17</v>
      </c>
      <c r="H349">
        <v>295</v>
      </c>
      <c r="I349">
        <v>51282</v>
      </c>
      <c r="J349">
        <v>50567</v>
      </c>
      <c r="K349">
        <v>84</v>
      </c>
      <c r="L349" t="s">
        <v>17</v>
      </c>
      <c r="M349" t="s">
        <v>18</v>
      </c>
      <c r="N349">
        <v>7.75</v>
      </c>
    </row>
    <row r="350" spans="1:14">
      <c r="A350" t="s">
        <v>268</v>
      </c>
      <c r="B350" t="s">
        <v>27</v>
      </c>
      <c r="C350" s="1">
        <v>45778</v>
      </c>
      <c r="D350" t="s">
        <v>20</v>
      </c>
      <c r="E350" t="s">
        <v>21</v>
      </c>
      <c r="F350">
        <v>1430</v>
      </c>
      <c r="G350">
        <v>376</v>
      </c>
      <c r="H350">
        <v>33</v>
      </c>
      <c r="I350">
        <v>21450</v>
      </c>
      <c r="J350">
        <v>20509</v>
      </c>
      <c r="K350">
        <v>251</v>
      </c>
      <c r="L350" t="s">
        <v>52</v>
      </c>
      <c r="M350" t="s">
        <v>32</v>
      </c>
      <c r="N350">
        <v>8.57</v>
      </c>
    </row>
    <row r="351" spans="1:14">
      <c r="A351" t="s">
        <v>269</v>
      </c>
      <c r="B351" t="s">
        <v>14</v>
      </c>
      <c r="C351" s="1">
        <v>45776</v>
      </c>
      <c r="D351" t="s">
        <v>28</v>
      </c>
      <c r="E351" t="s">
        <v>29</v>
      </c>
      <c r="F351">
        <v>249</v>
      </c>
      <c r="G351">
        <v>592</v>
      </c>
      <c r="H351">
        <v>230</v>
      </c>
      <c r="I351">
        <v>1494</v>
      </c>
      <c r="J351">
        <v>1044</v>
      </c>
      <c r="K351">
        <v>201</v>
      </c>
      <c r="L351" t="s">
        <v>22</v>
      </c>
      <c r="M351" t="s">
        <v>44</v>
      </c>
      <c r="N351">
        <v>71.69</v>
      </c>
    </row>
    <row r="352" spans="1:14">
      <c r="A352" t="s">
        <v>269</v>
      </c>
      <c r="B352" t="s">
        <v>14</v>
      </c>
      <c r="C352" s="1">
        <v>45776</v>
      </c>
      <c r="D352" t="s">
        <v>28</v>
      </c>
      <c r="E352" t="s">
        <v>29</v>
      </c>
      <c r="F352">
        <v>249</v>
      </c>
      <c r="G352">
        <v>592</v>
      </c>
      <c r="H352">
        <v>230</v>
      </c>
      <c r="I352">
        <v>1494</v>
      </c>
      <c r="J352">
        <v>1044</v>
      </c>
      <c r="K352">
        <v>201</v>
      </c>
      <c r="L352" t="s">
        <v>37</v>
      </c>
      <c r="M352" t="s">
        <v>44</v>
      </c>
      <c r="N352">
        <v>71.69</v>
      </c>
    </row>
    <row r="353" spans="1:14">
      <c r="A353" t="s">
        <v>270</v>
      </c>
      <c r="B353" t="s">
        <v>34</v>
      </c>
      <c r="C353" s="1">
        <v>45724</v>
      </c>
      <c r="D353" t="s">
        <v>40</v>
      </c>
      <c r="E353" t="s">
        <v>41</v>
      </c>
      <c r="F353">
        <v>2382</v>
      </c>
      <c r="G353">
        <v>265</v>
      </c>
      <c r="H353">
        <v>134</v>
      </c>
      <c r="I353">
        <v>38112</v>
      </c>
      <c r="J353">
        <v>37437</v>
      </c>
      <c r="K353">
        <v>249</v>
      </c>
      <c r="L353" t="s">
        <v>52</v>
      </c>
      <c r="M353" t="s">
        <v>23</v>
      </c>
      <c r="N353">
        <v>7.3</v>
      </c>
    </row>
    <row r="354" spans="1:14">
      <c r="A354" t="s">
        <v>270</v>
      </c>
      <c r="B354" t="s">
        <v>34</v>
      </c>
      <c r="C354" s="1">
        <v>45724</v>
      </c>
      <c r="D354" t="s">
        <v>40</v>
      </c>
      <c r="E354" t="s">
        <v>41</v>
      </c>
      <c r="F354">
        <v>2382</v>
      </c>
      <c r="G354">
        <v>265</v>
      </c>
      <c r="H354">
        <v>134</v>
      </c>
      <c r="I354">
        <v>38112</v>
      </c>
      <c r="J354">
        <v>37437</v>
      </c>
      <c r="K354">
        <v>249</v>
      </c>
      <c r="L354" t="s">
        <v>37</v>
      </c>
      <c r="M354" t="s">
        <v>23</v>
      </c>
      <c r="N354">
        <v>7.3</v>
      </c>
    </row>
    <row r="355" spans="1:14">
      <c r="A355" t="s">
        <v>271</v>
      </c>
      <c r="B355" t="s">
        <v>34</v>
      </c>
      <c r="C355" s="1">
        <v>45444</v>
      </c>
      <c r="D355" t="s">
        <v>20</v>
      </c>
      <c r="E355" t="s">
        <v>21</v>
      </c>
      <c r="F355">
        <v>1272</v>
      </c>
      <c r="G355">
        <v>465</v>
      </c>
      <c r="H355">
        <v>99</v>
      </c>
      <c r="I355">
        <v>24168</v>
      </c>
      <c r="J355">
        <v>23719</v>
      </c>
      <c r="K355">
        <v>42</v>
      </c>
      <c r="L355" t="s">
        <v>22</v>
      </c>
      <c r="M355" t="s">
        <v>23</v>
      </c>
      <c r="N355">
        <v>7.6</v>
      </c>
    </row>
    <row r="356" spans="1:14">
      <c r="A356" t="s">
        <v>271</v>
      </c>
      <c r="B356" t="s">
        <v>34</v>
      </c>
      <c r="C356" s="1">
        <v>45444</v>
      </c>
      <c r="D356" t="s">
        <v>20</v>
      </c>
      <c r="E356" t="s">
        <v>21</v>
      </c>
      <c r="F356">
        <v>1272</v>
      </c>
      <c r="G356">
        <v>465</v>
      </c>
      <c r="H356">
        <v>99</v>
      </c>
      <c r="I356">
        <v>24168</v>
      </c>
      <c r="J356">
        <v>23719</v>
      </c>
      <c r="K356">
        <v>42</v>
      </c>
      <c r="L356" t="s">
        <v>52</v>
      </c>
      <c r="M356" t="s">
        <v>23</v>
      </c>
      <c r="N356">
        <v>7.6</v>
      </c>
    </row>
    <row r="357" spans="1:14">
      <c r="A357" t="s">
        <v>272</v>
      </c>
      <c r="B357" t="s">
        <v>34</v>
      </c>
      <c r="C357" s="1">
        <v>45648</v>
      </c>
      <c r="D357" t="s">
        <v>40</v>
      </c>
      <c r="E357" t="s">
        <v>41</v>
      </c>
      <c r="F357">
        <v>3196</v>
      </c>
      <c r="G357">
        <v>941</v>
      </c>
      <c r="H357">
        <v>376</v>
      </c>
      <c r="I357">
        <v>35156</v>
      </c>
      <c r="J357">
        <v>34444</v>
      </c>
      <c r="K357">
        <v>241</v>
      </c>
      <c r="L357" t="s">
        <v>31</v>
      </c>
      <c r="M357" t="s">
        <v>44</v>
      </c>
      <c r="N357">
        <v>12.84</v>
      </c>
    </row>
    <row r="358" spans="1:14">
      <c r="A358" t="s">
        <v>272</v>
      </c>
      <c r="B358" t="s">
        <v>34</v>
      </c>
      <c r="C358" s="1">
        <v>45648</v>
      </c>
      <c r="D358" t="s">
        <v>40</v>
      </c>
      <c r="E358" t="s">
        <v>41</v>
      </c>
      <c r="F358">
        <v>3196</v>
      </c>
      <c r="G358">
        <v>941</v>
      </c>
      <c r="H358">
        <v>376</v>
      </c>
      <c r="I358">
        <v>35156</v>
      </c>
      <c r="J358">
        <v>34444</v>
      </c>
      <c r="K358">
        <v>241</v>
      </c>
      <c r="L358" t="s">
        <v>37</v>
      </c>
      <c r="M358" t="s">
        <v>44</v>
      </c>
      <c r="N358">
        <v>12.84</v>
      </c>
    </row>
    <row r="359" spans="1:14">
      <c r="A359" t="s">
        <v>273</v>
      </c>
      <c r="B359" t="s">
        <v>34</v>
      </c>
      <c r="C359" s="1">
        <v>45523</v>
      </c>
      <c r="D359" t="s">
        <v>20</v>
      </c>
      <c r="E359" t="s">
        <v>21</v>
      </c>
      <c r="F359">
        <v>1257</v>
      </c>
      <c r="G359">
        <v>19</v>
      </c>
      <c r="H359">
        <v>351</v>
      </c>
      <c r="I359">
        <v>12570</v>
      </c>
      <c r="J359">
        <v>11660</v>
      </c>
      <c r="K359">
        <v>194</v>
      </c>
      <c r="L359" t="s">
        <v>31</v>
      </c>
      <c r="M359" t="s">
        <v>18</v>
      </c>
      <c r="N359">
        <v>12.94</v>
      </c>
    </row>
    <row r="360" spans="1:14">
      <c r="A360" t="s">
        <v>274</v>
      </c>
      <c r="B360" t="s">
        <v>27</v>
      </c>
      <c r="C360" s="1">
        <v>45587</v>
      </c>
      <c r="D360" t="s">
        <v>28</v>
      </c>
      <c r="E360" t="s">
        <v>29</v>
      </c>
      <c r="F360">
        <v>3770</v>
      </c>
      <c r="G360">
        <v>917</v>
      </c>
      <c r="H360">
        <v>129</v>
      </c>
      <c r="I360">
        <v>71630</v>
      </c>
      <c r="J360">
        <v>71322</v>
      </c>
      <c r="K360">
        <v>76</v>
      </c>
      <c r="L360" t="s">
        <v>17</v>
      </c>
      <c r="M360" t="s">
        <v>44</v>
      </c>
      <c r="N360">
        <v>6.72</v>
      </c>
    </row>
    <row r="361" spans="1:14">
      <c r="A361" t="s">
        <v>274</v>
      </c>
      <c r="B361" t="s">
        <v>27</v>
      </c>
      <c r="C361" s="1">
        <v>45587</v>
      </c>
      <c r="D361" t="s">
        <v>28</v>
      </c>
      <c r="E361" t="s">
        <v>29</v>
      </c>
      <c r="F361">
        <v>3770</v>
      </c>
      <c r="G361">
        <v>917</v>
      </c>
      <c r="H361">
        <v>129</v>
      </c>
      <c r="I361">
        <v>71630</v>
      </c>
      <c r="J361">
        <v>71322</v>
      </c>
      <c r="K361">
        <v>76</v>
      </c>
      <c r="L361" t="s">
        <v>37</v>
      </c>
      <c r="M361" t="s">
        <v>44</v>
      </c>
      <c r="N361">
        <v>6.72</v>
      </c>
    </row>
    <row r="362" spans="1:14">
      <c r="A362" t="s">
        <v>275</v>
      </c>
      <c r="B362" t="s">
        <v>14</v>
      </c>
      <c r="C362" s="1">
        <v>45489</v>
      </c>
      <c r="D362" t="s">
        <v>20</v>
      </c>
      <c r="E362" t="s">
        <v>21</v>
      </c>
      <c r="F362">
        <v>4725</v>
      </c>
      <c r="G362">
        <v>400</v>
      </c>
      <c r="H362">
        <v>362</v>
      </c>
      <c r="I362">
        <v>75600</v>
      </c>
      <c r="J362">
        <v>74927</v>
      </c>
      <c r="K362">
        <v>43</v>
      </c>
      <c r="L362" t="s">
        <v>37</v>
      </c>
      <c r="M362" t="s">
        <v>18</v>
      </c>
      <c r="N362">
        <v>7.26</v>
      </c>
    </row>
    <row r="363" spans="1:14">
      <c r="A363" t="s">
        <v>275</v>
      </c>
      <c r="B363" t="s">
        <v>14</v>
      </c>
      <c r="C363" s="1">
        <v>45489</v>
      </c>
      <c r="D363" t="s">
        <v>20</v>
      </c>
      <c r="E363" t="s">
        <v>21</v>
      </c>
      <c r="F363">
        <v>4725</v>
      </c>
      <c r="G363">
        <v>400</v>
      </c>
      <c r="H363">
        <v>362</v>
      </c>
      <c r="I363">
        <v>75600</v>
      </c>
      <c r="J363">
        <v>74927</v>
      </c>
      <c r="K363">
        <v>43</v>
      </c>
      <c r="L363" t="s">
        <v>22</v>
      </c>
      <c r="M363" t="s">
        <v>18</v>
      </c>
      <c r="N363">
        <v>7.26</v>
      </c>
    </row>
    <row r="364" spans="1:14">
      <c r="A364" t="s">
        <v>276</v>
      </c>
      <c r="B364" t="s">
        <v>25</v>
      </c>
      <c r="C364" s="1">
        <v>45712</v>
      </c>
      <c r="D364" t="s">
        <v>20</v>
      </c>
      <c r="E364" t="s">
        <v>21</v>
      </c>
      <c r="F364">
        <v>4188</v>
      </c>
      <c r="G364">
        <v>942</v>
      </c>
      <c r="H364">
        <v>118</v>
      </c>
      <c r="I364">
        <v>20940</v>
      </c>
      <c r="J364">
        <v>20471</v>
      </c>
      <c r="K364">
        <v>102</v>
      </c>
      <c r="L364" t="s">
        <v>31</v>
      </c>
      <c r="M364" t="s">
        <v>23</v>
      </c>
      <c r="N364">
        <v>25.06</v>
      </c>
    </row>
    <row r="365" spans="1:14">
      <c r="A365" t="s">
        <v>277</v>
      </c>
      <c r="B365" t="s">
        <v>14</v>
      </c>
      <c r="C365" s="1">
        <v>45530</v>
      </c>
      <c r="D365" t="s">
        <v>35</v>
      </c>
      <c r="E365" t="s">
        <v>36</v>
      </c>
      <c r="F365">
        <v>929</v>
      </c>
      <c r="G365">
        <v>192</v>
      </c>
      <c r="H365">
        <v>322</v>
      </c>
      <c r="I365">
        <v>16722</v>
      </c>
      <c r="J365">
        <v>15996</v>
      </c>
      <c r="K365">
        <v>145</v>
      </c>
      <c r="L365" t="s">
        <v>22</v>
      </c>
      <c r="M365" t="s">
        <v>32</v>
      </c>
      <c r="N365">
        <v>8.6300000000000008</v>
      </c>
    </row>
    <row r="366" spans="1:14">
      <c r="A366" t="s">
        <v>278</v>
      </c>
      <c r="B366" t="s">
        <v>34</v>
      </c>
      <c r="C366" s="1">
        <v>45675</v>
      </c>
      <c r="D366" t="s">
        <v>28</v>
      </c>
      <c r="E366" t="s">
        <v>29</v>
      </c>
      <c r="F366">
        <v>4321</v>
      </c>
      <c r="G366">
        <v>874</v>
      </c>
      <c r="H366">
        <v>172</v>
      </c>
      <c r="I366">
        <v>30247</v>
      </c>
      <c r="J366">
        <v>29254</v>
      </c>
      <c r="K366">
        <v>122</v>
      </c>
      <c r="L366" t="s">
        <v>17</v>
      </c>
      <c r="M366" t="s">
        <v>32</v>
      </c>
      <c r="N366">
        <v>17.739999999999998</v>
      </c>
    </row>
    <row r="367" spans="1:14">
      <c r="A367" t="s">
        <v>278</v>
      </c>
      <c r="B367" t="s">
        <v>34</v>
      </c>
      <c r="C367" s="1">
        <v>45675</v>
      </c>
      <c r="D367" t="s">
        <v>28</v>
      </c>
      <c r="E367" t="s">
        <v>29</v>
      </c>
      <c r="F367">
        <v>4321</v>
      </c>
      <c r="G367">
        <v>874</v>
      </c>
      <c r="H367">
        <v>172</v>
      </c>
      <c r="I367">
        <v>30247</v>
      </c>
      <c r="J367">
        <v>29254</v>
      </c>
      <c r="K367">
        <v>122</v>
      </c>
      <c r="L367" t="s">
        <v>22</v>
      </c>
      <c r="M367" t="s">
        <v>32</v>
      </c>
      <c r="N367">
        <v>17.739999999999998</v>
      </c>
    </row>
    <row r="368" spans="1:14">
      <c r="A368" t="s">
        <v>279</v>
      </c>
      <c r="B368" t="s">
        <v>34</v>
      </c>
      <c r="C368" s="1">
        <v>45480</v>
      </c>
      <c r="D368" t="s">
        <v>15</v>
      </c>
      <c r="E368" t="s">
        <v>16</v>
      </c>
      <c r="F368">
        <v>4767</v>
      </c>
      <c r="G368">
        <v>190</v>
      </c>
      <c r="H368">
        <v>340</v>
      </c>
      <c r="I368">
        <v>28602</v>
      </c>
      <c r="J368">
        <v>28044</v>
      </c>
      <c r="K368">
        <v>210</v>
      </c>
      <c r="L368" t="s">
        <v>52</v>
      </c>
      <c r="M368" t="s">
        <v>44</v>
      </c>
      <c r="N368">
        <v>18.52</v>
      </c>
    </row>
    <row r="369" spans="1:14">
      <c r="A369" t="s">
        <v>280</v>
      </c>
      <c r="B369" t="s">
        <v>14</v>
      </c>
      <c r="C369" s="1">
        <v>45722</v>
      </c>
      <c r="D369" t="s">
        <v>40</v>
      </c>
      <c r="E369" t="s">
        <v>41</v>
      </c>
      <c r="F369">
        <v>3592</v>
      </c>
      <c r="G369">
        <v>911</v>
      </c>
      <c r="H369">
        <v>375</v>
      </c>
      <c r="I369">
        <v>50288</v>
      </c>
      <c r="J369">
        <v>49490</v>
      </c>
      <c r="K369">
        <v>32</v>
      </c>
      <c r="L369" t="s">
        <v>31</v>
      </c>
      <c r="M369" t="s">
        <v>23</v>
      </c>
      <c r="N369">
        <v>9.6999999999999993</v>
      </c>
    </row>
    <row r="370" spans="1:14">
      <c r="A370" t="s">
        <v>281</v>
      </c>
      <c r="B370" t="s">
        <v>25</v>
      </c>
      <c r="C370" s="1">
        <v>45590</v>
      </c>
      <c r="D370" t="s">
        <v>50</v>
      </c>
      <c r="E370" t="s">
        <v>51</v>
      </c>
      <c r="F370">
        <v>4661</v>
      </c>
      <c r="G370">
        <v>935</v>
      </c>
      <c r="H370">
        <v>433</v>
      </c>
      <c r="I370">
        <v>23305</v>
      </c>
      <c r="J370">
        <v>22583</v>
      </c>
      <c r="K370">
        <v>63</v>
      </c>
      <c r="L370" t="s">
        <v>31</v>
      </c>
      <c r="M370" t="s">
        <v>18</v>
      </c>
      <c r="N370">
        <v>25.87</v>
      </c>
    </row>
    <row r="371" spans="1:14">
      <c r="A371" t="s">
        <v>281</v>
      </c>
      <c r="B371" t="s">
        <v>25</v>
      </c>
      <c r="C371" s="1">
        <v>45590</v>
      </c>
      <c r="D371" t="s">
        <v>50</v>
      </c>
      <c r="E371" t="s">
        <v>51</v>
      </c>
      <c r="F371">
        <v>4661</v>
      </c>
      <c r="G371">
        <v>935</v>
      </c>
      <c r="H371">
        <v>433</v>
      </c>
      <c r="I371">
        <v>23305</v>
      </c>
      <c r="J371">
        <v>22583</v>
      </c>
      <c r="K371">
        <v>63</v>
      </c>
      <c r="L371" t="s">
        <v>52</v>
      </c>
      <c r="M371" t="s">
        <v>18</v>
      </c>
      <c r="N371">
        <v>25.87</v>
      </c>
    </row>
    <row r="372" spans="1:14">
      <c r="A372" t="s">
        <v>282</v>
      </c>
      <c r="B372" t="s">
        <v>34</v>
      </c>
      <c r="C372" s="1">
        <v>45669</v>
      </c>
      <c r="D372" t="s">
        <v>15</v>
      </c>
      <c r="E372" t="s">
        <v>16</v>
      </c>
      <c r="F372">
        <v>4134</v>
      </c>
      <c r="G372">
        <v>824</v>
      </c>
      <c r="H372">
        <v>99</v>
      </c>
      <c r="I372">
        <v>41340</v>
      </c>
      <c r="J372">
        <v>41050</v>
      </c>
      <c r="K372">
        <v>177</v>
      </c>
      <c r="L372" t="s">
        <v>22</v>
      </c>
      <c r="M372" t="s">
        <v>23</v>
      </c>
      <c r="N372">
        <v>12.23</v>
      </c>
    </row>
    <row r="373" spans="1:14">
      <c r="A373" t="s">
        <v>283</v>
      </c>
      <c r="B373" t="s">
        <v>34</v>
      </c>
      <c r="C373" s="1">
        <v>45576</v>
      </c>
      <c r="D373" t="s">
        <v>40</v>
      </c>
      <c r="E373" t="s">
        <v>41</v>
      </c>
      <c r="F373">
        <v>400</v>
      </c>
      <c r="G373">
        <v>680</v>
      </c>
      <c r="H373">
        <v>434</v>
      </c>
      <c r="I373">
        <v>6400</v>
      </c>
      <c r="J373">
        <v>5472</v>
      </c>
      <c r="K373">
        <v>160</v>
      </c>
      <c r="L373" t="s">
        <v>17</v>
      </c>
      <c r="M373" t="s">
        <v>23</v>
      </c>
      <c r="N373">
        <v>23.66</v>
      </c>
    </row>
    <row r="374" spans="1:14">
      <c r="A374" t="s">
        <v>283</v>
      </c>
      <c r="B374" t="s">
        <v>34</v>
      </c>
      <c r="C374" s="1">
        <v>45576</v>
      </c>
      <c r="D374" t="s">
        <v>40</v>
      </c>
      <c r="E374" t="s">
        <v>41</v>
      </c>
      <c r="F374">
        <v>400</v>
      </c>
      <c r="G374">
        <v>680</v>
      </c>
      <c r="H374">
        <v>434</v>
      </c>
      <c r="I374">
        <v>6400</v>
      </c>
      <c r="J374">
        <v>5472</v>
      </c>
      <c r="K374">
        <v>160</v>
      </c>
      <c r="L374" t="s">
        <v>37</v>
      </c>
      <c r="M374" t="s">
        <v>23</v>
      </c>
      <c r="N374">
        <v>23.66</v>
      </c>
    </row>
    <row r="375" spans="1:14">
      <c r="A375" t="s">
        <v>284</v>
      </c>
      <c r="B375" t="s">
        <v>34</v>
      </c>
      <c r="C375" s="1">
        <v>45531</v>
      </c>
      <c r="D375" t="s">
        <v>15</v>
      </c>
      <c r="E375" t="s">
        <v>16</v>
      </c>
      <c r="F375">
        <v>3960</v>
      </c>
      <c r="G375">
        <v>266</v>
      </c>
      <c r="H375">
        <v>8</v>
      </c>
      <c r="I375">
        <v>35640</v>
      </c>
      <c r="J375">
        <v>34850</v>
      </c>
      <c r="K375">
        <v>208</v>
      </c>
      <c r="L375" t="s">
        <v>37</v>
      </c>
      <c r="M375" t="s">
        <v>44</v>
      </c>
      <c r="N375">
        <v>11.88</v>
      </c>
    </row>
    <row r="376" spans="1:14">
      <c r="A376" t="s">
        <v>284</v>
      </c>
      <c r="B376" t="s">
        <v>34</v>
      </c>
      <c r="C376" s="1">
        <v>45531</v>
      </c>
      <c r="D376" t="s">
        <v>15</v>
      </c>
      <c r="E376" t="s">
        <v>16</v>
      </c>
      <c r="F376">
        <v>3960</v>
      </c>
      <c r="G376">
        <v>266</v>
      </c>
      <c r="H376">
        <v>8</v>
      </c>
      <c r="I376">
        <v>35640</v>
      </c>
      <c r="J376">
        <v>34850</v>
      </c>
      <c r="K376">
        <v>208</v>
      </c>
      <c r="L376" t="s">
        <v>22</v>
      </c>
      <c r="M376" t="s">
        <v>44</v>
      </c>
      <c r="N376">
        <v>11.88</v>
      </c>
    </row>
    <row r="377" spans="1:14">
      <c r="A377" t="s">
        <v>285</v>
      </c>
      <c r="B377" t="s">
        <v>34</v>
      </c>
      <c r="C377" s="1">
        <v>45690</v>
      </c>
      <c r="D377" t="s">
        <v>28</v>
      </c>
      <c r="E377" t="s">
        <v>29</v>
      </c>
      <c r="F377">
        <v>886</v>
      </c>
      <c r="G377">
        <v>126</v>
      </c>
      <c r="H377">
        <v>153</v>
      </c>
      <c r="I377">
        <v>4430</v>
      </c>
      <c r="J377">
        <v>4037</v>
      </c>
      <c r="K377">
        <v>212</v>
      </c>
      <c r="L377" t="s">
        <v>17</v>
      </c>
      <c r="M377" t="s">
        <v>32</v>
      </c>
      <c r="N377">
        <v>26.3</v>
      </c>
    </row>
    <row r="378" spans="1:14">
      <c r="A378" t="s">
        <v>286</v>
      </c>
      <c r="B378" t="s">
        <v>14</v>
      </c>
      <c r="C378" s="1">
        <v>45491</v>
      </c>
      <c r="D378" t="s">
        <v>40</v>
      </c>
      <c r="E378" t="s">
        <v>41</v>
      </c>
      <c r="F378">
        <v>827</v>
      </c>
      <c r="G378">
        <v>77</v>
      </c>
      <c r="H378">
        <v>402</v>
      </c>
      <c r="I378">
        <v>14886</v>
      </c>
      <c r="J378">
        <v>14129</v>
      </c>
      <c r="K378">
        <v>254</v>
      </c>
      <c r="L378" t="s">
        <v>31</v>
      </c>
      <c r="M378" t="s">
        <v>23</v>
      </c>
      <c r="N378">
        <v>8.77</v>
      </c>
    </row>
    <row r="379" spans="1:14">
      <c r="A379" t="s">
        <v>287</v>
      </c>
      <c r="B379" t="s">
        <v>34</v>
      </c>
      <c r="C379" s="1">
        <v>45465</v>
      </c>
      <c r="D379" t="s">
        <v>15</v>
      </c>
      <c r="E379" t="s">
        <v>16</v>
      </c>
      <c r="F379">
        <v>3813</v>
      </c>
      <c r="G379">
        <v>935</v>
      </c>
      <c r="H379">
        <v>274</v>
      </c>
      <c r="I379">
        <v>68634</v>
      </c>
      <c r="J379">
        <v>68488</v>
      </c>
      <c r="K379">
        <v>251</v>
      </c>
      <c r="L379" t="s">
        <v>52</v>
      </c>
      <c r="M379" t="s">
        <v>18</v>
      </c>
      <c r="N379">
        <v>7.32</v>
      </c>
    </row>
    <row r="380" spans="1:14">
      <c r="A380" t="s">
        <v>287</v>
      </c>
      <c r="B380" t="s">
        <v>34</v>
      </c>
      <c r="C380" s="1">
        <v>45465</v>
      </c>
      <c r="D380" t="s">
        <v>15</v>
      </c>
      <c r="E380" t="s">
        <v>16</v>
      </c>
      <c r="F380">
        <v>3813</v>
      </c>
      <c r="G380">
        <v>935</v>
      </c>
      <c r="H380">
        <v>274</v>
      </c>
      <c r="I380">
        <v>68634</v>
      </c>
      <c r="J380">
        <v>68488</v>
      </c>
      <c r="K380">
        <v>251</v>
      </c>
      <c r="L380" t="s">
        <v>37</v>
      </c>
      <c r="M380" t="s">
        <v>18</v>
      </c>
      <c r="N380">
        <v>7.32</v>
      </c>
    </row>
    <row r="381" spans="1:14">
      <c r="A381" t="s">
        <v>288</v>
      </c>
      <c r="B381" t="s">
        <v>27</v>
      </c>
      <c r="C381" s="1">
        <v>45743</v>
      </c>
      <c r="D381" t="s">
        <v>35</v>
      </c>
      <c r="E381" t="s">
        <v>36</v>
      </c>
      <c r="F381">
        <v>1377</v>
      </c>
      <c r="G381">
        <v>796</v>
      </c>
      <c r="H381">
        <v>387</v>
      </c>
      <c r="I381">
        <v>22032</v>
      </c>
      <c r="J381">
        <v>21869</v>
      </c>
      <c r="K381">
        <v>189</v>
      </c>
      <c r="L381" t="s">
        <v>52</v>
      </c>
      <c r="M381" t="s">
        <v>32</v>
      </c>
      <c r="N381">
        <v>11.62</v>
      </c>
    </row>
    <row r="382" spans="1:14">
      <c r="A382" t="s">
        <v>288</v>
      </c>
      <c r="B382" t="s">
        <v>27</v>
      </c>
      <c r="C382" s="1">
        <v>45743</v>
      </c>
      <c r="D382" t="s">
        <v>35</v>
      </c>
      <c r="E382" t="s">
        <v>36</v>
      </c>
      <c r="F382">
        <v>1377</v>
      </c>
      <c r="G382">
        <v>796</v>
      </c>
      <c r="H382">
        <v>387</v>
      </c>
      <c r="I382">
        <v>22032</v>
      </c>
      <c r="J382">
        <v>21869</v>
      </c>
      <c r="K382">
        <v>189</v>
      </c>
      <c r="L382" t="s">
        <v>22</v>
      </c>
      <c r="M382" t="s">
        <v>32</v>
      </c>
      <c r="N382">
        <v>11.62</v>
      </c>
    </row>
    <row r="383" spans="1:14">
      <c r="A383" t="s">
        <v>289</v>
      </c>
      <c r="B383" t="s">
        <v>34</v>
      </c>
      <c r="C383" s="1">
        <v>45775</v>
      </c>
      <c r="D383" t="s">
        <v>35</v>
      </c>
      <c r="E383" t="s">
        <v>36</v>
      </c>
      <c r="F383">
        <v>2089</v>
      </c>
      <c r="G383">
        <v>476</v>
      </c>
      <c r="H383">
        <v>69</v>
      </c>
      <c r="I383">
        <v>16712</v>
      </c>
      <c r="J383">
        <v>16309</v>
      </c>
      <c r="K383">
        <v>64</v>
      </c>
      <c r="L383" t="s">
        <v>31</v>
      </c>
      <c r="M383" t="s">
        <v>18</v>
      </c>
      <c r="N383">
        <v>15.76</v>
      </c>
    </row>
    <row r="384" spans="1:14">
      <c r="A384" t="s">
        <v>289</v>
      </c>
      <c r="B384" t="s">
        <v>34</v>
      </c>
      <c r="C384" s="1">
        <v>45775</v>
      </c>
      <c r="D384" t="s">
        <v>35</v>
      </c>
      <c r="E384" t="s">
        <v>36</v>
      </c>
      <c r="F384">
        <v>2089</v>
      </c>
      <c r="G384">
        <v>476</v>
      </c>
      <c r="H384">
        <v>69</v>
      </c>
      <c r="I384">
        <v>16712</v>
      </c>
      <c r="J384">
        <v>16309</v>
      </c>
      <c r="K384">
        <v>64</v>
      </c>
      <c r="L384" t="s">
        <v>17</v>
      </c>
      <c r="M384" t="s">
        <v>18</v>
      </c>
      <c r="N384">
        <v>15.76</v>
      </c>
    </row>
    <row r="385" spans="1:14">
      <c r="A385" t="s">
        <v>290</v>
      </c>
      <c r="B385" t="s">
        <v>14</v>
      </c>
      <c r="C385" s="1">
        <v>45507</v>
      </c>
      <c r="D385" t="s">
        <v>15</v>
      </c>
      <c r="E385" t="s">
        <v>16</v>
      </c>
      <c r="F385">
        <v>3791</v>
      </c>
      <c r="G385">
        <v>593</v>
      </c>
      <c r="H385">
        <v>228</v>
      </c>
      <c r="I385">
        <v>53074</v>
      </c>
      <c r="J385">
        <v>52613</v>
      </c>
      <c r="K385">
        <v>205</v>
      </c>
      <c r="L385" t="s">
        <v>31</v>
      </c>
      <c r="M385" t="s">
        <v>18</v>
      </c>
      <c r="N385">
        <v>8.69</v>
      </c>
    </row>
    <row r="386" spans="1:14">
      <c r="A386" t="s">
        <v>290</v>
      </c>
      <c r="B386" t="s">
        <v>14</v>
      </c>
      <c r="C386" s="1">
        <v>45507</v>
      </c>
      <c r="D386" t="s">
        <v>15</v>
      </c>
      <c r="E386" t="s">
        <v>16</v>
      </c>
      <c r="F386">
        <v>3791</v>
      </c>
      <c r="G386">
        <v>593</v>
      </c>
      <c r="H386">
        <v>228</v>
      </c>
      <c r="I386">
        <v>53074</v>
      </c>
      <c r="J386">
        <v>52613</v>
      </c>
      <c r="K386">
        <v>205</v>
      </c>
      <c r="L386" t="s">
        <v>52</v>
      </c>
      <c r="M386" t="s">
        <v>18</v>
      </c>
      <c r="N386">
        <v>8.69</v>
      </c>
    </row>
    <row r="387" spans="1:14">
      <c r="A387" t="s">
        <v>291</v>
      </c>
      <c r="B387" t="s">
        <v>14</v>
      </c>
      <c r="C387" s="1">
        <v>45671</v>
      </c>
      <c r="D387" t="s">
        <v>40</v>
      </c>
      <c r="E387" t="s">
        <v>41</v>
      </c>
      <c r="F387">
        <v>2692</v>
      </c>
      <c r="G387">
        <v>115</v>
      </c>
      <c r="H387">
        <v>64</v>
      </c>
      <c r="I387">
        <v>21536</v>
      </c>
      <c r="J387">
        <v>21120</v>
      </c>
      <c r="K387">
        <v>224</v>
      </c>
      <c r="L387" t="s">
        <v>52</v>
      </c>
      <c r="M387" t="s">
        <v>44</v>
      </c>
      <c r="N387">
        <v>13.33</v>
      </c>
    </row>
    <row r="388" spans="1:14">
      <c r="A388" t="s">
        <v>291</v>
      </c>
      <c r="B388" t="s">
        <v>14</v>
      </c>
      <c r="C388" s="1">
        <v>45671</v>
      </c>
      <c r="D388" t="s">
        <v>40</v>
      </c>
      <c r="E388" t="s">
        <v>41</v>
      </c>
      <c r="F388">
        <v>2692</v>
      </c>
      <c r="G388">
        <v>115</v>
      </c>
      <c r="H388">
        <v>64</v>
      </c>
      <c r="I388">
        <v>21536</v>
      </c>
      <c r="J388">
        <v>21120</v>
      </c>
      <c r="K388">
        <v>224</v>
      </c>
      <c r="L388" t="s">
        <v>37</v>
      </c>
      <c r="M388" t="s">
        <v>44</v>
      </c>
      <c r="N388">
        <v>13.33</v>
      </c>
    </row>
    <row r="389" spans="1:14">
      <c r="A389" t="s">
        <v>292</v>
      </c>
      <c r="B389" t="s">
        <v>34</v>
      </c>
      <c r="C389" s="1">
        <v>45750</v>
      </c>
      <c r="D389" t="s">
        <v>28</v>
      </c>
      <c r="E389" t="s">
        <v>29</v>
      </c>
      <c r="F389">
        <v>3767</v>
      </c>
      <c r="G389">
        <v>514</v>
      </c>
      <c r="H389">
        <v>238</v>
      </c>
      <c r="I389">
        <v>37670</v>
      </c>
      <c r="J389">
        <v>36807</v>
      </c>
      <c r="K389">
        <v>226</v>
      </c>
      <c r="L389" t="s">
        <v>31</v>
      </c>
      <c r="M389" t="s">
        <v>18</v>
      </c>
      <c r="N389">
        <v>12</v>
      </c>
    </row>
    <row r="390" spans="1:14">
      <c r="A390" t="s">
        <v>292</v>
      </c>
      <c r="B390" t="s">
        <v>34</v>
      </c>
      <c r="C390" s="1">
        <v>45750</v>
      </c>
      <c r="D390" t="s">
        <v>28</v>
      </c>
      <c r="E390" t="s">
        <v>29</v>
      </c>
      <c r="F390">
        <v>3767</v>
      </c>
      <c r="G390">
        <v>514</v>
      </c>
      <c r="H390">
        <v>238</v>
      </c>
      <c r="I390">
        <v>37670</v>
      </c>
      <c r="J390">
        <v>36807</v>
      </c>
      <c r="K390">
        <v>226</v>
      </c>
      <c r="L390" t="s">
        <v>52</v>
      </c>
      <c r="M390" t="s">
        <v>18</v>
      </c>
      <c r="N390">
        <v>12</v>
      </c>
    </row>
    <row r="391" spans="1:14">
      <c r="A391" t="s">
        <v>293</v>
      </c>
      <c r="B391" t="s">
        <v>25</v>
      </c>
      <c r="C391" s="1">
        <v>45553</v>
      </c>
      <c r="D391" t="s">
        <v>35</v>
      </c>
      <c r="E391" t="s">
        <v>36</v>
      </c>
      <c r="F391">
        <v>2143</v>
      </c>
      <c r="G391">
        <v>12</v>
      </c>
      <c r="H391">
        <v>204</v>
      </c>
      <c r="I391">
        <v>40717</v>
      </c>
      <c r="J391">
        <v>40125</v>
      </c>
      <c r="K391">
        <v>248</v>
      </c>
      <c r="L391" t="s">
        <v>52</v>
      </c>
      <c r="M391" t="s">
        <v>44</v>
      </c>
      <c r="N391">
        <v>5.79</v>
      </c>
    </row>
    <row r="392" spans="1:14">
      <c r="A392" t="s">
        <v>293</v>
      </c>
      <c r="B392" t="s">
        <v>25</v>
      </c>
      <c r="C392" s="1">
        <v>45553</v>
      </c>
      <c r="D392" t="s">
        <v>35</v>
      </c>
      <c r="E392" t="s">
        <v>36</v>
      </c>
      <c r="F392">
        <v>2143</v>
      </c>
      <c r="G392">
        <v>12</v>
      </c>
      <c r="H392">
        <v>204</v>
      </c>
      <c r="I392">
        <v>40717</v>
      </c>
      <c r="J392">
        <v>40125</v>
      </c>
      <c r="K392">
        <v>248</v>
      </c>
      <c r="L392" t="s">
        <v>17</v>
      </c>
      <c r="M392" t="s">
        <v>44</v>
      </c>
      <c r="N392">
        <v>5.79</v>
      </c>
    </row>
    <row r="393" spans="1:14">
      <c r="A393" t="s">
        <v>294</v>
      </c>
      <c r="B393" t="s">
        <v>34</v>
      </c>
      <c r="C393" s="1">
        <v>45753</v>
      </c>
      <c r="D393" t="s">
        <v>40</v>
      </c>
      <c r="E393" t="s">
        <v>41</v>
      </c>
      <c r="F393">
        <v>3090</v>
      </c>
      <c r="G393">
        <v>697</v>
      </c>
      <c r="H393">
        <v>164</v>
      </c>
      <c r="I393">
        <v>49440</v>
      </c>
      <c r="J393">
        <v>48524</v>
      </c>
      <c r="K393">
        <v>25</v>
      </c>
      <c r="L393" t="s">
        <v>52</v>
      </c>
      <c r="M393" t="s">
        <v>44</v>
      </c>
      <c r="N393">
        <v>7.99</v>
      </c>
    </row>
    <row r="394" spans="1:14">
      <c r="A394" t="s">
        <v>294</v>
      </c>
      <c r="B394" t="s">
        <v>34</v>
      </c>
      <c r="C394" s="1">
        <v>45753</v>
      </c>
      <c r="D394" t="s">
        <v>40</v>
      </c>
      <c r="E394" t="s">
        <v>41</v>
      </c>
      <c r="F394">
        <v>3090</v>
      </c>
      <c r="G394">
        <v>697</v>
      </c>
      <c r="H394">
        <v>164</v>
      </c>
      <c r="I394">
        <v>49440</v>
      </c>
      <c r="J394">
        <v>48524</v>
      </c>
      <c r="K394">
        <v>25</v>
      </c>
      <c r="L394" t="s">
        <v>31</v>
      </c>
      <c r="M394" t="s">
        <v>44</v>
      </c>
      <c r="N394">
        <v>7.99</v>
      </c>
    </row>
    <row r="395" spans="1:14">
      <c r="A395" t="s">
        <v>295</v>
      </c>
      <c r="B395" t="s">
        <v>27</v>
      </c>
      <c r="C395" s="1">
        <v>45509</v>
      </c>
      <c r="D395" t="s">
        <v>28</v>
      </c>
      <c r="E395" t="s">
        <v>29</v>
      </c>
      <c r="F395">
        <v>3601</v>
      </c>
      <c r="G395">
        <v>695</v>
      </c>
      <c r="H395">
        <v>75</v>
      </c>
      <c r="I395">
        <v>21606</v>
      </c>
      <c r="J395">
        <v>21454</v>
      </c>
      <c r="K395">
        <v>172</v>
      </c>
      <c r="L395" t="s">
        <v>31</v>
      </c>
      <c r="M395" t="s">
        <v>23</v>
      </c>
      <c r="N395">
        <v>20.23</v>
      </c>
    </row>
    <row r="396" spans="1:14">
      <c r="A396" t="s">
        <v>296</v>
      </c>
      <c r="B396" t="s">
        <v>34</v>
      </c>
      <c r="C396" s="1">
        <v>45698</v>
      </c>
      <c r="D396" t="s">
        <v>20</v>
      </c>
      <c r="E396" t="s">
        <v>21</v>
      </c>
      <c r="F396">
        <v>562</v>
      </c>
      <c r="G396">
        <v>158</v>
      </c>
      <c r="H396">
        <v>149</v>
      </c>
      <c r="I396">
        <v>3372</v>
      </c>
      <c r="J396">
        <v>2940</v>
      </c>
      <c r="K396">
        <v>93</v>
      </c>
      <c r="L396" t="s">
        <v>52</v>
      </c>
      <c r="M396" t="s">
        <v>44</v>
      </c>
      <c r="N396">
        <v>25.77</v>
      </c>
    </row>
    <row r="397" spans="1:14">
      <c r="A397" t="s">
        <v>296</v>
      </c>
      <c r="B397" t="s">
        <v>34</v>
      </c>
      <c r="C397" s="1">
        <v>45698</v>
      </c>
      <c r="D397" t="s">
        <v>20</v>
      </c>
      <c r="E397" t="s">
        <v>21</v>
      </c>
      <c r="F397">
        <v>562</v>
      </c>
      <c r="G397">
        <v>158</v>
      </c>
      <c r="H397">
        <v>149</v>
      </c>
      <c r="I397">
        <v>3372</v>
      </c>
      <c r="J397">
        <v>2940</v>
      </c>
      <c r="K397">
        <v>93</v>
      </c>
      <c r="L397" t="s">
        <v>17</v>
      </c>
      <c r="M397" t="s">
        <v>44</v>
      </c>
      <c r="N397">
        <v>25.77</v>
      </c>
    </row>
    <row r="398" spans="1:14">
      <c r="A398" t="s">
        <v>297</v>
      </c>
      <c r="B398" t="s">
        <v>27</v>
      </c>
      <c r="C398" s="1">
        <v>45700</v>
      </c>
      <c r="D398" t="s">
        <v>28</v>
      </c>
      <c r="E398" t="s">
        <v>29</v>
      </c>
      <c r="F398">
        <v>4332</v>
      </c>
      <c r="G398">
        <v>771</v>
      </c>
      <c r="H398">
        <v>219</v>
      </c>
      <c r="I398">
        <v>60648</v>
      </c>
      <c r="J398">
        <v>60397</v>
      </c>
      <c r="K398">
        <v>10</v>
      </c>
      <c r="L398" t="s">
        <v>22</v>
      </c>
      <c r="M398" t="s">
        <v>32</v>
      </c>
      <c r="N398">
        <v>8.7799999999999994</v>
      </c>
    </row>
    <row r="399" spans="1:14">
      <c r="A399" t="s">
        <v>298</v>
      </c>
      <c r="B399" t="s">
        <v>27</v>
      </c>
      <c r="C399" s="1">
        <v>45592</v>
      </c>
      <c r="D399" t="s">
        <v>40</v>
      </c>
      <c r="E399" t="s">
        <v>41</v>
      </c>
      <c r="F399">
        <v>4853</v>
      </c>
      <c r="G399">
        <v>837</v>
      </c>
      <c r="H399">
        <v>340</v>
      </c>
      <c r="I399">
        <v>72795</v>
      </c>
      <c r="J399">
        <v>72237</v>
      </c>
      <c r="K399">
        <v>170</v>
      </c>
      <c r="L399" t="s">
        <v>17</v>
      </c>
      <c r="M399" t="s">
        <v>23</v>
      </c>
      <c r="N399">
        <v>8.2799999999999994</v>
      </c>
    </row>
    <row r="400" spans="1:14">
      <c r="A400" t="s">
        <v>299</v>
      </c>
      <c r="B400" t="s">
        <v>25</v>
      </c>
      <c r="C400" s="1">
        <v>45675</v>
      </c>
      <c r="D400" t="s">
        <v>40</v>
      </c>
      <c r="E400" t="s">
        <v>41</v>
      </c>
      <c r="F400">
        <v>1206</v>
      </c>
      <c r="G400">
        <v>238</v>
      </c>
      <c r="H400">
        <v>36</v>
      </c>
      <c r="I400">
        <v>9648</v>
      </c>
      <c r="J400">
        <v>9417</v>
      </c>
      <c r="K400">
        <v>237</v>
      </c>
      <c r="L400" t="s">
        <v>17</v>
      </c>
      <c r="M400" t="s">
        <v>32</v>
      </c>
      <c r="N400">
        <v>15.34</v>
      </c>
    </row>
    <row r="401" spans="1:14">
      <c r="A401" t="s">
        <v>299</v>
      </c>
      <c r="B401" t="s">
        <v>25</v>
      </c>
      <c r="C401" s="1">
        <v>45675</v>
      </c>
      <c r="D401" t="s">
        <v>40</v>
      </c>
      <c r="E401" t="s">
        <v>41</v>
      </c>
      <c r="F401">
        <v>1206</v>
      </c>
      <c r="G401">
        <v>238</v>
      </c>
      <c r="H401">
        <v>36</v>
      </c>
      <c r="I401">
        <v>9648</v>
      </c>
      <c r="J401">
        <v>9417</v>
      </c>
      <c r="K401">
        <v>237</v>
      </c>
      <c r="L401" t="s">
        <v>31</v>
      </c>
      <c r="M401" t="s">
        <v>32</v>
      </c>
      <c r="N401">
        <v>15.34</v>
      </c>
    </row>
    <row r="402" spans="1:14">
      <c r="A402" t="s">
        <v>300</v>
      </c>
      <c r="B402" t="s">
        <v>27</v>
      </c>
      <c r="C402" s="1">
        <v>45524</v>
      </c>
      <c r="D402" t="s">
        <v>15</v>
      </c>
      <c r="E402" t="s">
        <v>16</v>
      </c>
      <c r="F402">
        <v>2603</v>
      </c>
      <c r="G402">
        <v>690</v>
      </c>
      <c r="H402">
        <v>205</v>
      </c>
      <c r="I402">
        <v>13015</v>
      </c>
      <c r="J402">
        <v>12130</v>
      </c>
      <c r="K402">
        <v>20</v>
      </c>
      <c r="L402" t="s">
        <v>37</v>
      </c>
      <c r="M402" t="s">
        <v>18</v>
      </c>
      <c r="N402">
        <v>26.88</v>
      </c>
    </row>
    <row r="403" spans="1:14">
      <c r="A403" t="s">
        <v>301</v>
      </c>
      <c r="B403" t="s">
        <v>14</v>
      </c>
      <c r="C403" s="1">
        <v>45687</v>
      </c>
      <c r="D403" t="s">
        <v>40</v>
      </c>
      <c r="E403" t="s">
        <v>41</v>
      </c>
      <c r="F403">
        <v>59</v>
      </c>
      <c r="G403">
        <v>163</v>
      </c>
      <c r="H403">
        <v>93</v>
      </c>
      <c r="I403">
        <v>590</v>
      </c>
      <c r="J403">
        <v>475</v>
      </c>
      <c r="K403">
        <v>293</v>
      </c>
      <c r="L403" t="s">
        <v>37</v>
      </c>
      <c r="M403" t="s">
        <v>44</v>
      </c>
      <c r="N403">
        <v>53.39</v>
      </c>
    </row>
    <row r="404" spans="1:14">
      <c r="A404" t="s">
        <v>302</v>
      </c>
      <c r="B404" t="s">
        <v>14</v>
      </c>
      <c r="C404" s="1">
        <v>45708</v>
      </c>
      <c r="D404" t="s">
        <v>35</v>
      </c>
      <c r="E404" t="s">
        <v>36</v>
      </c>
      <c r="F404">
        <v>1877</v>
      </c>
      <c r="G404">
        <v>745</v>
      </c>
      <c r="H404">
        <v>225</v>
      </c>
      <c r="I404">
        <v>11262</v>
      </c>
      <c r="J404">
        <v>10967</v>
      </c>
      <c r="K404">
        <v>41</v>
      </c>
      <c r="L404" t="s">
        <v>31</v>
      </c>
      <c r="M404" t="s">
        <v>18</v>
      </c>
      <c r="N404">
        <v>25.28</v>
      </c>
    </row>
    <row r="405" spans="1:14">
      <c r="A405" t="s">
        <v>302</v>
      </c>
      <c r="B405" t="s">
        <v>14</v>
      </c>
      <c r="C405" s="1">
        <v>45708</v>
      </c>
      <c r="D405" t="s">
        <v>35</v>
      </c>
      <c r="E405" t="s">
        <v>36</v>
      </c>
      <c r="F405">
        <v>1877</v>
      </c>
      <c r="G405">
        <v>745</v>
      </c>
      <c r="H405">
        <v>225</v>
      </c>
      <c r="I405">
        <v>11262</v>
      </c>
      <c r="J405">
        <v>10967</v>
      </c>
      <c r="K405">
        <v>41</v>
      </c>
      <c r="L405" t="s">
        <v>17</v>
      </c>
      <c r="M405" t="s">
        <v>18</v>
      </c>
      <c r="N405">
        <v>25.28</v>
      </c>
    </row>
    <row r="406" spans="1:14">
      <c r="A406" t="s">
        <v>303</v>
      </c>
      <c r="B406" t="s">
        <v>34</v>
      </c>
      <c r="C406" s="1">
        <v>45621</v>
      </c>
      <c r="D406" t="s">
        <v>28</v>
      </c>
      <c r="E406" t="s">
        <v>29</v>
      </c>
      <c r="F406">
        <v>4182</v>
      </c>
      <c r="G406">
        <v>640</v>
      </c>
      <c r="H406">
        <v>240</v>
      </c>
      <c r="I406">
        <v>50184</v>
      </c>
      <c r="J406">
        <v>49351</v>
      </c>
      <c r="K406">
        <v>10</v>
      </c>
      <c r="L406" t="s">
        <v>17</v>
      </c>
      <c r="M406" t="s">
        <v>32</v>
      </c>
      <c r="N406">
        <v>10.09</v>
      </c>
    </row>
    <row r="407" spans="1:14">
      <c r="A407" t="s">
        <v>303</v>
      </c>
      <c r="B407" t="s">
        <v>34</v>
      </c>
      <c r="C407" s="1">
        <v>45621</v>
      </c>
      <c r="D407" t="s">
        <v>28</v>
      </c>
      <c r="E407" t="s">
        <v>29</v>
      </c>
      <c r="F407">
        <v>4182</v>
      </c>
      <c r="G407">
        <v>640</v>
      </c>
      <c r="H407">
        <v>240</v>
      </c>
      <c r="I407">
        <v>50184</v>
      </c>
      <c r="J407">
        <v>49351</v>
      </c>
      <c r="K407">
        <v>10</v>
      </c>
      <c r="L407" t="s">
        <v>31</v>
      </c>
      <c r="M407" t="s">
        <v>32</v>
      </c>
      <c r="N407">
        <v>10.09</v>
      </c>
    </row>
    <row r="408" spans="1:14">
      <c r="A408" t="s">
        <v>304</v>
      </c>
      <c r="B408" t="s">
        <v>14</v>
      </c>
      <c r="C408" s="1">
        <v>45569</v>
      </c>
      <c r="D408" t="s">
        <v>15</v>
      </c>
      <c r="E408" t="s">
        <v>16</v>
      </c>
      <c r="F408">
        <v>4187</v>
      </c>
      <c r="G408">
        <v>66</v>
      </c>
      <c r="H408">
        <v>31</v>
      </c>
      <c r="I408">
        <v>66992</v>
      </c>
      <c r="J408">
        <v>66614</v>
      </c>
      <c r="K408">
        <v>62</v>
      </c>
      <c r="L408" t="s">
        <v>31</v>
      </c>
      <c r="M408" t="s">
        <v>44</v>
      </c>
      <c r="N408">
        <v>6.39</v>
      </c>
    </row>
    <row r="409" spans="1:14">
      <c r="A409" t="s">
        <v>305</v>
      </c>
      <c r="B409" t="s">
        <v>27</v>
      </c>
      <c r="C409" s="1">
        <v>45760</v>
      </c>
      <c r="D409" t="s">
        <v>15</v>
      </c>
      <c r="E409" t="s">
        <v>16</v>
      </c>
      <c r="F409">
        <v>4579</v>
      </c>
      <c r="G409">
        <v>125</v>
      </c>
      <c r="H409">
        <v>300</v>
      </c>
      <c r="I409">
        <v>59527</v>
      </c>
      <c r="J409">
        <v>59400</v>
      </c>
      <c r="K409">
        <v>269</v>
      </c>
      <c r="L409" t="s">
        <v>31</v>
      </c>
      <c r="M409" t="s">
        <v>18</v>
      </c>
      <c r="N409">
        <v>8.41</v>
      </c>
    </row>
    <row r="410" spans="1:14">
      <c r="A410" t="s">
        <v>305</v>
      </c>
      <c r="B410" t="s">
        <v>27</v>
      </c>
      <c r="C410" s="1">
        <v>45760</v>
      </c>
      <c r="D410" t="s">
        <v>15</v>
      </c>
      <c r="E410" t="s">
        <v>16</v>
      </c>
      <c r="F410">
        <v>4579</v>
      </c>
      <c r="G410">
        <v>125</v>
      </c>
      <c r="H410">
        <v>300</v>
      </c>
      <c r="I410">
        <v>59527</v>
      </c>
      <c r="J410">
        <v>59400</v>
      </c>
      <c r="K410">
        <v>269</v>
      </c>
      <c r="L410" t="s">
        <v>22</v>
      </c>
      <c r="M410" t="s">
        <v>18</v>
      </c>
      <c r="N410">
        <v>8.41</v>
      </c>
    </row>
    <row r="411" spans="1:14">
      <c r="A411" t="s">
        <v>306</v>
      </c>
      <c r="B411" t="s">
        <v>27</v>
      </c>
      <c r="C411" s="1">
        <v>45601</v>
      </c>
      <c r="D411" t="s">
        <v>50</v>
      </c>
      <c r="E411" t="s">
        <v>51</v>
      </c>
      <c r="F411">
        <v>4561</v>
      </c>
      <c r="G411">
        <v>51</v>
      </c>
      <c r="H411">
        <v>441</v>
      </c>
      <c r="I411">
        <v>22805</v>
      </c>
      <c r="J411">
        <v>21890</v>
      </c>
      <c r="K411">
        <v>45</v>
      </c>
      <c r="L411" t="s">
        <v>31</v>
      </c>
      <c r="M411" t="s">
        <v>23</v>
      </c>
      <c r="N411">
        <v>22.16</v>
      </c>
    </row>
    <row r="412" spans="1:14">
      <c r="A412" t="s">
        <v>307</v>
      </c>
      <c r="B412" t="s">
        <v>25</v>
      </c>
      <c r="C412" s="1">
        <v>45672</v>
      </c>
      <c r="D412" t="s">
        <v>15</v>
      </c>
      <c r="E412" t="s">
        <v>16</v>
      </c>
      <c r="F412">
        <v>3774</v>
      </c>
      <c r="G412">
        <v>239</v>
      </c>
      <c r="H412">
        <v>39</v>
      </c>
      <c r="I412">
        <v>60384</v>
      </c>
      <c r="J412">
        <v>59490</v>
      </c>
      <c r="K412">
        <v>241</v>
      </c>
      <c r="L412" t="s">
        <v>52</v>
      </c>
      <c r="M412" t="s">
        <v>32</v>
      </c>
      <c r="N412">
        <v>6.71</v>
      </c>
    </row>
    <row r="413" spans="1:14">
      <c r="A413" t="s">
        <v>308</v>
      </c>
      <c r="B413" t="s">
        <v>27</v>
      </c>
      <c r="C413" s="1">
        <v>45582</v>
      </c>
      <c r="D413" t="s">
        <v>50</v>
      </c>
      <c r="E413" t="s">
        <v>51</v>
      </c>
      <c r="F413">
        <v>3575</v>
      </c>
      <c r="G413">
        <v>749</v>
      </c>
      <c r="H413">
        <v>111</v>
      </c>
      <c r="I413">
        <v>21450</v>
      </c>
      <c r="J413">
        <v>20785</v>
      </c>
      <c r="K413">
        <v>195</v>
      </c>
      <c r="L413" t="s">
        <v>52</v>
      </c>
      <c r="M413" t="s">
        <v>32</v>
      </c>
      <c r="N413">
        <v>20.68</v>
      </c>
    </row>
    <row r="414" spans="1:14">
      <c r="A414" t="s">
        <v>309</v>
      </c>
      <c r="B414" t="s">
        <v>27</v>
      </c>
      <c r="C414" s="1">
        <v>45743</v>
      </c>
      <c r="D414" t="s">
        <v>20</v>
      </c>
      <c r="E414" t="s">
        <v>21</v>
      </c>
      <c r="F414">
        <v>4941</v>
      </c>
      <c r="G414">
        <v>414</v>
      </c>
      <c r="H414">
        <v>266</v>
      </c>
      <c r="I414">
        <v>39528</v>
      </c>
      <c r="J414">
        <v>39154</v>
      </c>
      <c r="K414">
        <v>217</v>
      </c>
      <c r="L414" t="s">
        <v>17</v>
      </c>
      <c r="M414" t="s">
        <v>23</v>
      </c>
      <c r="N414">
        <v>14.22</v>
      </c>
    </row>
    <row r="415" spans="1:14">
      <c r="A415" t="s">
        <v>310</v>
      </c>
      <c r="B415" t="s">
        <v>25</v>
      </c>
      <c r="C415" s="1">
        <v>45577</v>
      </c>
      <c r="D415" t="s">
        <v>28</v>
      </c>
      <c r="E415" t="s">
        <v>29</v>
      </c>
      <c r="F415">
        <v>3641</v>
      </c>
      <c r="G415">
        <v>226</v>
      </c>
      <c r="H415">
        <v>46</v>
      </c>
      <c r="I415">
        <v>40051</v>
      </c>
      <c r="J415">
        <v>39319</v>
      </c>
      <c r="K415">
        <v>296</v>
      </c>
      <c r="L415" t="s">
        <v>37</v>
      </c>
      <c r="M415" t="s">
        <v>23</v>
      </c>
      <c r="N415">
        <v>9.77</v>
      </c>
    </row>
    <row r="416" spans="1:14">
      <c r="A416" t="s">
        <v>311</v>
      </c>
      <c r="B416" t="s">
        <v>14</v>
      </c>
      <c r="C416" s="1">
        <v>45658</v>
      </c>
      <c r="D416" t="s">
        <v>35</v>
      </c>
      <c r="E416" t="s">
        <v>36</v>
      </c>
      <c r="F416">
        <v>3535</v>
      </c>
      <c r="G416">
        <v>494</v>
      </c>
      <c r="H416">
        <v>152</v>
      </c>
      <c r="I416">
        <v>53025</v>
      </c>
      <c r="J416">
        <v>52791</v>
      </c>
      <c r="K416">
        <v>44</v>
      </c>
      <c r="L416" t="s">
        <v>37</v>
      </c>
      <c r="M416" t="s">
        <v>23</v>
      </c>
      <c r="N416">
        <v>7.88</v>
      </c>
    </row>
    <row r="417" spans="1:14">
      <c r="A417" t="s">
        <v>311</v>
      </c>
      <c r="B417" t="s">
        <v>14</v>
      </c>
      <c r="C417" s="1">
        <v>45658</v>
      </c>
      <c r="D417" t="s">
        <v>35</v>
      </c>
      <c r="E417" t="s">
        <v>36</v>
      </c>
      <c r="F417">
        <v>3535</v>
      </c>
      <c r="G417">
        <v>494</v>
      </c>
      <c r="H417">
        <v>152</v>
      </c>
      <c r="I417">
        <v>53025</v>
      </c>
      <c r="J417">
        <v>52791</v>
      </c>
      <c r="K417">
        <v>44</v>
      </c>
      <c r="L417" t="s">
        <v>31</v>
      </c>
      <c r="M417" t="s">
        <v>23</v>
      </c>
      <c r="N417">
        <v>7.88</v>
      </c>
    </row>
    <row r="418" spans="1:14">
      <c r="A418" t="s">
        <v>312</v>
      </c>
      <c r="B418" t="s">
        <v>34</v>
      </c>
      <c r="C418" s="1">
        <v>45509</v>
      </c>
      <c r="D418" t="s">
        <v>15</v>
      </c>
      <c r="E418" t="s">
        <v>16</v>
      </c>
      <c r="F418">
        <v>1741</v>
      </c>
      <c r="G418">
        <v>831</v>
      </c>
      <c r="H418">
        <v>345</v>
      </c>
      <c r="I418">
        <v>17410</v>
      </c>
      <c r="J418">
        <v>16844</v>
      </c>
      <c r="K418">
        <v>58</v>
      </c>
      <c r="L418" t="s">
        <v>22</v>
      </c>
      <c r="M418" t="s">
        <v>44</v>
      </c>
      <c r="N418">
        <v>16.75</v>
      </c>
    </row>
    <row r="419" spans="1:14">
      <c r="A419" t="s">
        <v>312</v>
      </c>
      <c r="B419" t="s">
        <v>34</v>
      </c>
      <c r="C419" s="1">
        <v>45509</v>
      </c>
      <c r="D419" t="s">
        <v>15</v>
      </c>
      <c r="E419" t="s">
        <v>16</v>
      </c>
      <c r="F419">
        <v>1741</v>
      </c>
      <c r="G419">
        <v>831</v>
      </c>
      <c r="H419">
        <v>345</v>
      </c>
      <c r="I419">
        <v>17410</v>
      </c>
      <c r="J419">
        <v>16844</v>
      </c>
      <c r="K419">
        <v>58</v>
      </c>
      <c r="L419" t="s">
        <v>52</v>
      </c>
      <c r="M419" t="s">
        <v>44</v>
      </c>
      <c r="N419">
        <v>16.75</v>
      </c>
    </row>
    <row r="420" spans="1:14">
      <c r="A420" t="s">
        <v>313</v>
      </c>
      <c r="B420" t="s">
        <v>14</v>
      </c>
      <c r="C420" s="1">
        <v>45450</v>
      </c>
      <c r="D420" t="s">
        <v>35</v>
      </c>
      <c r="E420" t="s">
        <v>36</v>
      </c>
      <c r="F420">
        <v>1556</v>
      </c>
      <c r="G420">
        <v>195</v>
      </c>
      <c r="H420">
        <v>131</v>
      </c>
      <c r="I420">
        <v>9336</v>
      </c>
      <c r="J420">
        <v>8875</v>
      </c>
      <c r="K420">
        <v>137</v>
      </c>
      <c r="L420" t="s">
        <v>22</v>
      </c>
      <c r="M420" t="s">
        <v>23</v>
      </c>
      <c r="N420">
        <v>20.16</v>
      </c>
    </row>
    <row r="421" spans="1:14">
      <c r="A421" t="s">
        <v>314</v>
      </c>
      <c r="B421" t="s">
        <v>34</v>
      </c>
      <c r="C421" s="1">
        <v>45753</v>
      </c>
      <c r="D421" t="s">
        <v>40</v>
      </c>
      <c r="E421" t="s">
        <v>41</v>
      </c>
      <c r="F421">
        <v>4236</v>
      </c>
      <c r="G421">
        <v>711</v>
      </c>
      <c r="H421">
        <v>298</v>
      </c>
      <c r="I421">
        <v>21180</v>
      </c>
      <c r="J421">
        <v>20516</v>
      </c>
      <c r="K421">
        <v>238</v>
      </c>
      <c r="L421" t="s">
        <v>37</v>
      </c>
      <c r="M421" t="s">
        <v>44</v>
      </c>
      <c r="N421">
        <v>24.76</v>
      </c>
    </row>
    <row r="422" spans="1:14">
      <c r="A422" t="s">
        <v>314</v>
      </c>
      <c r="B422" t="s">
        <v>34</v>
      </c>
      <c r="C422" s="1">
        <v>45753</v>
      </c>
      <c r="D422" t="s">
        <v>40</v>
      </c>
      <c r="E422" t="s">
        <v>41</v>
      </c>
      <c r="F422">
        <v>4236</v>
      </c>
      <c r="G422">
        <v>711</v>
      </c>
      <c r="H422">
        <v>298</v>
      </c>
      <c r="I422">
        <v>21180</v>
      </c>
      <c r="J422">
        <v>20516</v>
      </c>
      <c r="K422">
        <v>238</v>
      </c>
      <c r="L422" t="s">
        <v>17</v>
      </c>
      <c r="M422" t="s">
        <v>44</v>
      </c>
      <c r="N422">
        <v>24.76</v>
      </c>
    </row>
    <row r="423" spans="1:14">
      <c r="A423" t="s">
        <v>315</v>
      </c>
      <c r="B423" t="s">
        <v>14</v>
      </c>
      <c r="C423" s="1">
        <v>45622</v>
      </c>
      <c r="D423" t="s">
        <v>20</v>
      </c>
      <c r="E423" t="s">
        <v>21</v>
      </c>
      <c r="F423">
        <v>4516</v>
      </c>
      <c r="G423">
        <v>836</v>
      </c>
      <c r="H423">
        <v>169</v>
      </c>
      <c r="I423">
        <v>49676</v>
      </c>
      <c r="J423">
        <v>49257</v>
      </c>
      <c r="K423">
        <v>282</v>
      </c>
      <c r="L423" t="s">
        <v>37</v>
      </c>
      <c r="M423" t="s">
        <v>18</v>
      </c>
      <c r="N423">
        <v>11.11</v>
      </c>
    </row>
    <row r="424" spans="1:14">
      <c r="A424" t="s">
        <v>316</v>
      </c>
      <c r="B424" t="s">
        <v>25</v>
      </c>
      <c r="C424" s="1">
        <v>45537</v>
      </c>
      <c r="D424" t="s">
        <v>40</v>
      </c>
      <c r="E424" t="s">
        <v>41</v>
      </c>
      <c r="F424">
        <v>4905</v>
      </c>
      <c r="G424">
        <v>845</v>
      </c>
      <c r="H424">
        <v>129</v>
      </c>
      <c r="I424">
        <v>98100</v>
      </c>
      <c r="J424">
        <v>97772</v>
      </c>
      <c r="K424">
        <v>279</v>
      </c>
      <c r="L424" t="s">
        <v>37</v>
      </c>
      <c r="M424" t="s">
        <v>44</v>
      </c>
      <c r="N424">
        <v>5.99</v>
      </c>
    </row>
    <row r="425" spans="1:14">
      <c r="A425" t="s">
        <v>317</v>
      </c>
      <c r="B425" t="s">
        <v>25</v>
      </c>
      <c r="C425" s="1">
        <v>45586</v>
      </c>
      <c r="D425" t="s">
        <v>50</v>
      </c>
      <c r="E425" t="s">
        <v>51</v>
      </c>
      <c r="F425">
        <v>4275</v>
      </c>
      <c r="G425">
        <v>680</v>
      </c>
      <c r="H425">
        <v>385</v>
      </c>
      <c r="I425">
        <v>64125</v>
      </c>
      <c r="J425">
        <v>63650</v>
      </c>
      <c r="K425">
        <v>104</v>
      </c>
      <c r="L425" t="s">
        <v>31</v>
      </c>
      <c r="M425" t="s">
        <v>44</v>
      </c>
      <c r="N425">
        <v>8.33</v>
      </c>
    </row>
    <row r="426" spans="1:14">
      <c r="A426" t="s">
        <v>318</v>
      </c>
      <c r="B426" t="s">
        <v>25</v>
      </c>
      <c r="C426" s="1">
        <v>45738</v>
      </c>
      <c r="D426" t="s">
        <v>40</v>
      </c>
      <c r="E426" t="s">
        <v>41</v>
      </c>
      <c r="F426">
        <v>3166</v>
      </c>
      <c r="G426">
        <v>90</v>
      </c>
      <c r="H426">
        <v>341</v>
      </c>
      <c r="I426">
        <v>56988</v>
      </c>
      <c r="J426">
        <v>56125</v>
      </c>
      <c r="K426">
        <v>135</v>
      </c>
      <c r="L426" t="s">
        <v>22</v>
      </c>
      <c r="M426" t="s">
        <v>23</v>
      </c>
      <c r="N426">
        <v>6.31</v>
      </c>
    </row>
    <row r="427" spans="1:14">
      <c r="A427" t="s">
        <v>318</v>
      </c>
      <c r="B427" t="s">
        <v>25</v>
      </c>
      <c r="C427" s="1">
        <v>45738</v>
      </c>
      <c r="D427" t="s">
        <v>40</v>
      </c>
      <c r="E427" t="s">
        <v>41</v>
      </c>
      <c r="F427">
        <v>3166</v>
      </c>
      <c r="G427">
        <v>90</v>
      </c>
      <c r="H427">
        <v>341</v>
      </c>
      <c r="I427">
        <v>56988</v>
      </c>
      <c r="J427">
        <v>56125</v>
      </c>
      <c r="K427">
        <v>135</v>
      </c>
      <c r="L427" t="s">
        <v>31</v>
      </c>
      <c r="M427" t="s">
        <v>23</v>
      </c>
      <c r="N427">
        <v>6.31</v>
      </c>
    </row>
    <row r="428" spans="1:14">
      <c r="A428" t="s">
        <v>319</v>
      </c>
      <c r="B428" t="s">
        <v>27</v>
      </c>
      <c r="C428" s="1">
        <v>45568</v>
      </c>
      <c r="D428" t="s">
        <v>50</v>
      </c>
      <c r="E428" t="s">
        <v>51</v>
      </c>
      <c r="F428">
        <v>1488</v>
      </c>
      <c r="G428">
        <v>417</v>
      </c>
      <c r="H428">
        <v>168</v>
      </c>
      <c r="I428">
        <v>19344</v>
      </c>
      <c r="J428">
        <v>18395</v>
      </c>
      <c r="K428">
        <v>30</v>
      </c>
      <c r="L428" t="s">
        <v>17</v>
      </c>
      <c r="M428" t="s">
        <v>18</v>
      </c>
      <c r="N428">
        <v>10.72</v>
      </c>
    </row>
    <row r="429" spans="1:14">
      <c r="A429" t="s">
        <v>320</v>
      </c>
      <c r="B429" t="s">
        <v>14</v>
      </c>
      <c r="C429" s="1">
        <v>45786</v>
      </c>
      <c r="D429" t="s">
        <v>15</v>
      </c>
      <c r="E429" t="s">
        <v>16</v>
      </c>
      <c r="F429">
        <v>3367</v>
      </c>
      <c r="G429">
        <v>302</v>
      </c>
      <c r="H429">
        <v>57</v>
      </c>
      <c r="I429">
        <v>63973</v>
      </c>
      <c r="J429">
        <v>63789</v>
      </c>
      <c r="K429">
        <v>157</v>
      </c>
      <c r="L429" t="s">
        <v>37</v>
      </c>
      <c r="M429" t="s">
        <v>32</v>
      </c>
      <c r="N429">
        <v>5.82</v>
      </c>
    </row>
    <row r="430" spans="1:14">
      <c r="A430" t="s">
        <v>320</v>
      </c>
      <c r="B430" t="s">
        <v>14</v>
      </c>
      <c r="C430" s="1">
        <v>45786</v>
      </c>
      <c r="D430" t="s">
        <v>15</v>
      </c>
      <c r="E430" t="s">
        <v>16</v>
      </c>
      <c r="F430">
        <v>3367</v>
      </c>
      <c r="G430">
        <v>302</v>
      </c>
      <c r="H430">
        <v>57</v>
      </c>
      <c r="I430">
        <v>63973</v>
      </c>
      <c r="J430">
        <v>63789</v>
      </c>
      <c r="K430">
        <v>157</v>
      </c>
      <c r="L430" t="s">
        <v>22</v>
      </c>
      <c r="M430" t="s">
        <v>32</v>
      </c>
      <c r="N430">
        <v>5.82</v>
      </c>
    </row>
    <row r="431" spans="1:14">
      <c r="A431" t="s">
        <v>321</v>
      </c>
      <c r="B431" t="s">
        <v>14</v>
      </c>
      <c r="C431" s="1">
        <v>45552</v>
      </c>
      <c r="D431" t="s">
        <v>20</v>
      </c>
      <c r="E431" t="s">
        <v>21</v>
      </c>
      <c r="F431">
        <v>571</v>
      </c>
      <c r="G431">
        <v>190</v>
      </c>
      <c r="H431">
        <v>352</v>
      </c>
      <c r="I431">
        <v>9707</v>
      </c>
      <c r="J431">
        <v>9418</v>
      </c>
      <c r="K431">
        <v>231</v>
      </c>
      <c r="L431" t="s">
        <v>52</v>
      </c>
      <c r="M431" t="s">
        <v>23</v>
      </c>
      <c r="N431">
        <v>11.47</v>
      </c>
    </row>
    <row r="432" spans="1:14">
      <c r="A432" t="s">
        <v>322</v>
      </c>
      <c r="B432" t="s">
        <v>25</v>
      </c>
      <c r="C432" s="1">
        <v>45491</v>
      </c>
      <c r="D432" t="s">
        <v>20</v>
      </c>
      <c r="E432" t="s">
        <v>21</v>
      </c>
      <c r="F432">
        <v>4021</v>
      </c>
      <c r="G432">
        <v>794</v>
      </c>
      <c r="H432">
        <v>77</v>
      </c>
      <c r="I432">
        <v>36189</v>
      </c>
      <c r="J432">
        <v>35505</v>
      </c>
      <c r="K432">
        <v>174</v>
      </c>
      <c r="L432" t="s">
        <v>52</v>
      </c>
      <c r="M432" t="s">
        <v>18</v>
      </c>
      <c r="N432">
        <v>13.52</v>
      </c>
    </row>
    <row r="433" spans="1:14">
      <c r="A433" t="s">
        <v>322</v>
      </c>
      <c r="B433" t="s">
        <v>25</v>
      </c>
      <c r="C433" s="1">
        <v>45491</v>
      </c>
      <c r="D433" t="s">
        <v>20</v>
      </c>
      <c r="E433" t="s">
        <v>21</v>
      </c>
      <c r="F433">
        <v>4021</v>
      </c>
      <c r="G433">
        <v>794</v>
      </c>
      <c r="H433">
        <v>77</v>
      </c>
      <c r="I433">
        <v>36189</v>
      </c>
      <c r="J433">
        <v>35505</v>
      </c>
      <c r="K433">
        <v>174</v>
      </c>
      <c r="L433" t="s">
        <v>31</v>
      </c>
      <c r="M433" t="s">
        <v>18</v>
      </c>
      <c r="N433">
        <v>13.52</v>
      </c>
    </row>
    <row r="434" spans="1:14">
      <c r="A434" t="s">
        <v>323</v>
      </c>
      <c r="B434" t="s">
        <v>25</v>
      </c>
      <c r="C434" s="1">
        <v>45560</v>
      </c>
      <c r="D434" t="s">
        <v>50</v>
      </c>
      <c r="E434" t="s">
        <v>51</v>
      </c>
      <c r="F434">
        <v>3389</v>
      </c>
      <c r="G434">
        <v>344</v>
      </c>
      <c r="H434">
        <v>229</v>
      </c>
      <c r="I434">
        <v>20334</v>
      </c>
      <c r="J434">
        <v>19443</v>
      </c>
      <c r="K434">
        <v>228</v>
      </c>
      <c r="L434" t="s">
        <v>22</v>
      </c>
      <c r="M434" t="s">
        <v>23</v>
      </c>
      <c r="N434">
        <v>19.48</v>
      </c>
    </row>
    <row r="435" spans="1:14">
      <c r="A435" t="s">
        <v>323</v>
      </c>
      <c r="B435" t="s">
        <v>25</v>
      </c>
      <c r="C435" s="1">
        <v>45560</v>
      </c>
      <c r="D435" t="s">
        <v>50</v>
      </c>
      <c r="E435" t="s">
        <v>51</v>
      </c>
      <c r="F435">
        <v>3389</v>
      </c>
      <c r="G435">
        <v>344</v>
      </c>
      <c r="H435">
        <v>229</v>
      </c>
      <c r="I435">
        <v>20334</v>
      </c>
      <c r="J435">
        <v>19443</v>
      </c>
      <c r="K435">
        <v>228</v>
      </c>
      <c r="L435" t="s">
        <v>17</v>
      </c>
      <c r="M435" t="s">
        <v>23</v>
      </c>
      <c r="N435">
        <v>19.48</v>
      </c>
    </row>
    <row r="436" spans="1:14">
      <c r="A436" t="s">
        <v>324</v>
      </c>
      <c r="B436" t="s">
        <v>27</v>
      </c>
      <c r="C436" s="1">
        <v>45519</v>
      </c>
      <c r="D436" t="s">
        <v>15</v>
      </c>
      <c r="E436" t="s">
        <v>16</v>
      </c>
      <c r="F436">
        <v>1164</v>
      </c>
      <c r="G436">
        <v>616</v>
      </c>
      <c r="H436">
        <v>324</v>
      </c>
      <c r="I436">
        <v>6984</v>
      </c>
      <c r="J436">
        <v>6636</v>
      </c>
      <c r="K436">
        <v>82</v>
      </c>
      <c r="L436" t="s">
        <v>22</v>
      </c>
      <c r="M436" t="s">
        <v>32</v>
      </c>
      <c r="N436">
        <v>30.13</v>
      </c>
    </row>
    <row r="437" spans="1:14">
      <c r="A437" t="s">
        <v>324</v>
      </c>
      <c r="B437" t="s">
        <v>27</v>
      </c>
      <c r="C437" s="1">
        <v>45519</v>
      </c>
      <c r="D437" t="s">
        <v>15</v>
      </c>
      <c r="E437" t="s">
        <v>16</v>
      </c>
      <c r="F437">
        <v>1164</v>
      </c>
      <c r="G437">
        <v>616</v>
      </c>
      <c r="H437">
        <v>324</v>
      </c>
      <c r="I437">
        <v>6984</v>
      </c>
      <c r="J437">
        <v>6636</v>
      </c>
      <c r="K437">
        <v>82</v>
      </c>
      <c r="L437" t="s">
        <v>37</v>
      </c>
      <c r="M437" t="s">
        <v>32</v>
      </c>
      <c r="N437">
        <v>30.13</v>
      </c>
    </row>
    <row r="438" spans="1:14">
      <c r="A438" t="s">
        <v>325</v>
      </c>
      <c r="B438" t="s">
        <v>25</v>
      </c>
      <c r="C438" s="1">
        <v>45764</v>
      </c>
      <c r="D438" t="s">
        <v>35</v>
      </c>
      <c r="E438" t="s">
        <v>36</v>
      </c>
      <c r="F438">
        <v>4780</v>
      </c>
      <c r="G438">
        <v>691</v>
      </c>
      <c r="H438">
        <v>380</v>
      </c>
      <c r="I438">
        <v>86040</v>
      </c>
      <c r="J438">
        <v>85743</v>
      </c>
      <c r="K438">
        <v>262</v>
      </c>
      <c r="L438" t="s">
        <v>22</v>
      </c>
      <c r="M438" t="s">
        <v>32</v>
      </c>
      <c r="N438">
        <v>6.8</v>
      </c>
    </row>
    <row r="439" spans="1:14">
      <c r="A439" t="s">
        <v>325</v>
      </c>
      <c r="B439" t="s">
        <v>25</v>
      </c>
      <c r="C439" s="1">
        <v>45764</v>
      </c>
      <c r="D439" t="s">
        <v>35</v>
      </c>
      <c r="E439" t="s">
        <v>36</v>
      </c>
      <c r="F439">
        <v>4780</v>
      </c>
      <c r="G439">
        <v>691</v>
      </c>
      <c r="H439">
        <v>380</v>
      </c>
      <c r="I439">
        <v>86040</v>
      </c>
      <c r="J439">
        <v>85743</v>
      </c>
      <c r="K439">
        <v>262</v>
      </c>
      <c r="L439" t="s">
        <v>52</v>
      </c>
      <c r="M439" t="s">
        <v>32</v>
      </c>
      <c r="N439">
        <v>6.8</v>
      </c>
    </row>
    <row r="440" spans="1:14">
      <c r="A440" t="s">
        <v>326</v>
      </c>
      <c r="B440" t="s">
        <v>34</v>
      </c>
      <c r="C440" s="1">
        <v>45624</v>
      </c>
      <c r="D440" t="s">
        <v>35</v>
      </c>
      <c r="E440" t="s">
        <v>36</v>
      </c>
      <c r="F440">
        <v>2751</v>
      </c>
      <c r="G440">
        <v>33</v>
      </c>
      <c r="H440">
        <v>430</v>
      </c>
      <c r="I440">
        <v>44016</v>
      </c>
      <c r="J440">
        <v>43415</v>
      </c>
      <c r="K440">
        <v>129</v>
      </c>
      <c r="L440" t="s">
        <v>37</v>
      </c>
      <c r="M440" t="s">
        <v>23</v>
      </c>
      <c r="N440">
        <v>7.3</v>
      </c>
    </row>
    <row r="441" spans="1:14">
      <c r="A441" t="s">
        <v>326</v>
      </c>
      <c r="B441" t="s">
        <v>34</v>
      </c>
      <c r="C441" s="1">
        <v>45624</v>
      </c>
      <c r="D441" t="s">
        <v>35</v>
      </c>
      <c r="E441" t="s">
        <v>36</v>
      </c>
      <c r="F441">
        <v>2751</v>
      </c>
      <c r="G441">
        <v>33</v>
      </c>
      <c r="H441">
        <v>430</v>
      </c>
      <c r="I441">
        <v>44016</v>
      </c>
      <c r="J441">
        <v>43415</v>
      </c>
      <c r="K441">
        <v>129</v>
      </c>
      <c r="L441" t="s">
        <v>31</v>
      </c>
      <c r="M441" t="s">
        <v>23</v>
      </c>
      <c r="N441">
        <v>7.3</v>
      </c>
    </row>
    <row r="442" spans="1:14">
      <c r="A442" t="s">
        <v>327</v>
      </c>
      <c r="B442" t="s">
        <v>27</v>
      </c>
      <c r="C442" s="1">
        <v>45646</v>
      </c>
      <c r="D442" t="s">
        <v>35</v>
      </c>
      <c r="E442" t="s">
        <v>36</v>
      </c>
      <c r="F442">
        <v>2107</v>
      </c>
      <c r="G442">
        <v>550</v>
      </c>
      <c r="H442">
        <v>349</v>
      </c>
      <c r="I442">
        <v>35819</v>
      </c>
      <c r="J442">
        <v>35340</v>
      </c>
      <c r="K442">
        <v>191</v>
      </c>
      <c r="L442" t="s">
        <v>37</v>
      </c>
      <c r="M442" t="s">
        <v>32</v>
      </c>
      <c r="N442">
        <v>8.39</v>
      </c>
    </row>
    <row r="443" spans="1:14">
      <c r="A443" t="s">
        <v>328</v>
      </c>
      <c r="B443" t="s">
        <v>34</v>
      </c>
      <c r="C443" s="1">
        <v>45602</v>
      </c>
      <c r="D443" t="s">
        <v>50</v>
      </c>
      <c r="E443" t="s">
        <v>51</v>
      </c>
      <c r="F443">
        <v>4663</v>
      </c>
      <c r="G443">
        <v>145</v>
      </c>
      <c r="H443">
        <v>225</v>
      </c>
      <c r="I443">
        <v>69945</v>
      </c>
      <c r="J443">
        <v>69596</v>
      </c>
      <c r="K443">
        <v>35</v>
      </c>
      <c r="L443" t="s">
        <v>22</v>
      </c>
      <c r="M443" t="s">
        <v>23</v>
      </c>
      <c r="N443">
        <v>7.2</v>
      </c>
    </row>
    <row r="444" spans="1:14">
      <c r="A444" t="s">
        <v>329</v>
      </c>
      <c r="B444" t="s">
        <v>34</v>
      </c>
      <c r="C444" s="1">
        <v>45613</v>
      </c>
      <c r="D444" t="s">
        <v>20</v>
      </c>
      <c r="E444" t="s">
        <v>21</v>
      </c>
      <c r="F444">
        <v>880</v>
      </c>
      <c r="G444">
        <v>297</v>
      </c>
      <c r="H444">
        <v>345</v>
      </c>
      <c r="I444">
        <v>12320</v>
      </c>
      <c r="J444">
        <v>11978</v>
      </c>
      <c r="K444">
        <v>238</v>
      </c>
      <c r="L444" t="s">
        <v>17</v>
      </c>
      <c r="M444" t="s">
        <v>23</v>
      </c>
      <c r="N444">
        <v>12.35</v>
      </c>
    </row>
    <row r="445" spans="1:14">
      <c r="A445" t="s">
        <v>330</v>
      </c>
      <c r="B445" t="s">
        <v>34</v>
      </c>
      <c r="C445" s="1">
        <v>45791</v>
      </c>
      <c r="D445" t="s">
        <v>20</v>
      </c>
      <c r="E445" t="s">
        <v>21</v>
      </c>
      <c r="F445">
        <v>2634</v>
      </c>
      <c r="G445">
        <v>726</v>
      </c>
      <c r="H445">
        <v>241</v>
      </c>
      <c r="I445">
        <v>28974</v>
      </c>
      <c r="J445">
        <v>28102</v>
      </c>
      <c r="K445">
        <v>277</v>
      </c>
      <c r="L445" t="s">
        <v>31</v>
      </c>
      <c r="M445" t="s">
        <v>32</v>
      </c>
      <c r="N445">
        <v>12.43</v>
      </c>
    </row>
    <row r="446" spans="1:14">
      <c r="A446" t="s">
        <v>331</v>
      </c>
      <c r="B446" t="s">
        <v>34</v>
      </c>
      <c r="C446" s="1">
        <v>45462</v>
      </c>
      <c r="D446" t="s">
        <v>35</v>
      </c>
      <c r="E446" t="s">
        <v>36</v>
      </c>
      <c r="F446">
        <v>4731</v>
      </c>
      <c r="G446">
        <v>173</v>
      </c>
      <c r="H446">
        <v>276</v>
      </c>
      <c r="I446">
        <v>28386</v>
      </c>
      <c r="J446">
        <v>28185</v>
      </c>
      <c r="K446">
        <v>89</v>
      </c>
      <c r="L446" t="s">
        <v>37</v>
      </c>
      <c r="M446" t="s">
        <v>44</v>
      </c>
      <c r="N446">
        <v>18.25</v>
      </c>
    </row>
    <row r="447" spans="1:14">
      <c r="A447" t="s">
        <v>331</v>
      </c>
      <c r="B447" t="s">
        <v>34</v>
      </c>
      <c r="C447" s="1">
        <v>45462</v>
      </c>
      <c r="D447" t="s">
        <v>35</v>
      </c>
      <c r="E447" t="s">
        <v>36</v>
      </c>
      <c r="F447">
        <v>4731</v>
      </c>
      <c r="G447">
        <v>173</v>
      </c>
      <c r="H447">
        <v>276</v>
      </c>
      <c r="I447">
        <v>28386</v>
      </c>
      <c r="J447">
        <v>28185</v>
      </c>
      <c r="K447">
        <v>89</v>
      </c>
      <c r="L447" t="s">
        <v>22</v>
      </c>
      <c r="M447" t="s">
        <v>44</v>
      </c>
      <c r="N447">
        <v>18.25</v>
      </c>
    </row>
    <row r="448" spans="1:14">
      <c r="A448" t="s">
        <v>332</v>
      </c>
      <c r="B448" t="s">
        <v>14</v>
      </c>
      <c r="C448" s="1">
        <v>45783</v>
      </c>
      <c r="D448" t="s">
        <v>40</v>
      </c>
      <c r="E448" t="s">
        <v>41</v>
      </c>
      <c r="F448">
        <v>1952</v>
      </c>
      <c r="G448">
        <v>344</v>
      </c>
      <c r="H448">
        <v>287</v>
      </c>
      <c r="I448">
        <v>15616</v>
      </c>
      <c r="J448">
        <v>15403</v>
      </c>
      <c r="K448">
        <v>235</v>
      </c>
      <c r="L448" t="s">
        <v>17</v>
      </c>
      <c r="M448" t="s">
        <v>32</v>
      </c>
      <c r="N448">
        <v>16.54</v>
      </c>
    </row>
    <row r="449" spans="1:14">
      <c r="A449" t="s">
        <v>332</v>
      </c>
      <c r="B449" t="s">
        <v>14</v>
      </c>
      <c r="C449" s="1">
        <v>45783</v>
      </c>
      <c r="D449" t="s">
        <v>40</v>
      </c>
      <c r="E449" t="s">
        <v>41</v>
      </c>
      <c r="F449">
        <v>1952</v>
      </c>
      <c r="G449">
        <v>344</v>
      </c>
      <c r="H449">
        <v>287</v>
      </c>
      <c r="I449">
        <v>15616</v>
      </c>
      <c r="J449">
        <v>15403</v>
      </c>
      <c r="K449">
        <v>235</v>
      </c>
      <c r="L449" t="s">
        <v>22</v>
      </c>
      <c r="M449" t="s">
        <v>32</v>
      </c>
      <c r="N449">
        <v>16.54</v>
      </c>
    </row>
    <row r="450" spans="1:14">
      <c r="A450" t="s">
        <v>333</v>
      </c>
      <c r="B450" t="s">
        <v>14</v>
      </c>
      <c r="C450" s="1">
        <v>45699</v>
      </c>
      <c r="D450" t="s">
        <v>50</v>
      </c>
      <c r="E450" t="s">
        <v>51</v>
      </c>
      <c r="F450">
        <v>3440</v>
      </c>
      <c r="G450">
        <v>13</v>
      </c>
      <c r="H450">
        <v>20</v>
      </c>
      <c r="I450">
        <v>58480</v>
      </c>
      <c r="J450">
        <v>58146</v>
      </c>
      <c r="K450">
        <v>210</v>
      </c>
      <c r="L450" t="s">
        <v>22</v>
      </c>
      <c r="M450" t="s">
        <v>18</v>
      </c>
      <c r="N450">
        <v>5.94</v>
      </c>
    </row>
    <row r="451" spans="1:14">
      <c r="A451" t="s">
        <v>333</v>
      </c>
      <c r="B451" t="s">
        <v>14</v>
      </c>
      <c r="C451" s="1">
        <v>45699</v>
      </c>
      <c r="D451" t="s">
        <v>50</v>
      </c>
      <c r="E451" t="s">
        <v>51</v>
      </c>
      <c r="F451">
        <v>3440</v>
      </c>
      <c r="G451">
        <v>13</v>
      </c>
      <c r="H451">
        <v>20</v>
      </c>
      <c r="I451">
        <v>58480</v>
      </c>
      <c r="J451">
        <v>58146</v>
      </c>
      <c r="K451">
        <v>210</v>
      </c>
      <c r="L451" t="s">
        <v>52</v>
      </c>
      <c r="M451" t="s">
        <v>18</v>
      </c>
      <c r="N451">
        <v>5.94</v>
      </c>
    </row>
    <row r="452" spans="1:14">
      <c r="A452" t="s">
        <v>334</v>
      </c>
      <c r="B452" t="s">
        <v>14</v>
      </c>
      <c r="C452" s="1">
        <v>45650</v>
      </c>
      <c r="D452" t="s">
        <v>20</v>
      </c>
      <c r="E452" t="s">
        <v>21</v>
      </c>
      <c r="F452">
        <v>2166</v>
      </c>
      <c r="G452">
        <v>354</v>
      </c>
      <c r="H452">
        <v>117</v>
      </c>
      <c r="I452">
        <v>10830</v>
      </c>
      <c r="J452">
        <v>10245</v>
      </c>
      <c r="K452">
        <v>24</v>
      </c>
      <c r="L452" t="s">
        <v>31</v>
      </c>
      <c r="M452" t="s">
        <v>18</v>
      </c>
      <c r="N452">
        <v>24.35</v>
      </c>
    </row>
    <row r="453" spans="1:14">
      <c r="A453" t="s">
        <v>334</v>
      </c>
      <c r="B453" t="s">
        <v>14</v>
      </c>
      <c r="C453" s="1">
        <v>45650</v>
      </c>
      <c r="D453" t="s">
        <v>20</v>
      </c>
      <c r="E453" t="s">
        <v>21</v>
      </c>
      <c r="F453">
        <v>2166</v>
      </c>
      <c r="G453">
        <v>354</v>
      </c>
      <c r="H453">
        <v>117</v>
      </c>
      <c r="I453">
        <v>10830</v>
      </c>
      <c r="J453">
        <v>10245</v>
      </c>
      <c r="K453">
        <v>24</v>
      </c>
      <c r="L453" t="s">
        <v>37</v>
      </c>
      <c r="M453" t="s">
        <v>18</v>
      </c>
      <c r="N453">
        <v>24.35</v>
      </c>
    </row>
    <row r="454" spans="1:14">
      <c r="A454" t="s">
        <v>335</v>
      </c>
      <c r="B454" t="s">
        <v>34</v>
      </c>
      <c r="C454" s="1">
        <v>45589</v>
      </c>
      <c r="D454" t="s">
        <v>40</v>
      </c>
      <c r="E454" t="s">
        <v>41</v>
      </c>
      <c r="F454">
        <v>4303</v>
      </c>
      <c r="G454">
        <v>451</v>
      </c>
      <c r="H454">
        <v>286</v>
      </c>
      <c r="I454">
        <v>86060</v>
      </c>
      <c r="J454">
        <v>85823</v>
      </c>
      <c r="K454">
        <v>14</v>
      </c>
      <c r="L454" t="s">
        <v>17</v>
      </c>
      <c r="M454" t="s">
        <v>23</v>
      </c>
      <c r="N454">
        <v>5.86</v>
      </c>
    </row>
    <row r="455" spans="1:14">
      <c r="A455" t="s">
        <v>336</v>
      </c>
      <c r="B455" t="s">
        <v>34</v>
      </c>
      <c r="C455" s="1">
        <v>45530</v>
      </c>
      <c r="D455" t="s">
        <v>40</v>
      </c>
      <c r="E455" t="s">
        <v>41</v>
      </c>
      <c r="F455">
        <v>2581</v>
      </c>
      <c r="G455">
        <v>517</v>
      </c>
      <c r="H455">
        <v>117</v>
      </c>
      <c r="I455">
        <v>23229</v>
      </c>
      <c r="J455">
        <v>22331</v>
      </c>
      <c r="K455">
        <v>70</v>
      </c>
      <c r="L455" t="s">
        <v>17</v>
      </c>
      <c r="M455" t="s">
        <v>23</v>
      </c>
      <c r="N455">
        <v>13.84</v>
      </c>
    </row>
    <row r="456" spans="1:14">
      <c r="A456" t="s">
        <v>336</v>
      </c>
      <c r="B456" t="s">
        <v>34</v>
      </c>
      <c r="C456" s="1">
        <v>45530</v>
      </c>
      <c r="D456" t="s">
        <v>40</v>
      </c>
      <c r="E456" t="s">
        <v>41</v>
      </c>
      <c r="F456">
        <v>2581</v>
      </c>
      <c r="G456">
        <v>517</v>
      </c>
      <c r="H456">
        <v>117</v>
      </c>
      <c r="I456">
        <v>23229</v>
      </c>
      <c r="J456">
        <v>22331</v>
      </c>
      <c r="K456">
        <v>70</v>
      </c>
      <c r="L456" t="s">
        <v>31</v>
      </c>
      <c r="M456" t="s">
        <v>23</v>
      </c>
      <c r="N456">
        <v>13.84</v>
      </c>
    </row>
    <row r="457" spans="1:14">
      <c r="A457" t="s">
        <v>337</v>
      </c>
      <c r="B457" t="s">
        <v>14</v>
      </c>
      <c r="C457" s="1">
        <v>45535</v>
      </c>
      <c r="D457" t="s">
        <v>35</v>
      </c>
      <c r="E457" t="s">
        <v>36</v>
      </c>
      <c r="F457">
        <v>4494</v>
      </c>
      <c r="G457">
        <v>717</v>
      </c>
      <c r="H457">
        <v>45</v>
      </c>
      <c r="I457">
        <v>62916</v>
      </c>
      <c r="J457">
        <v>62688</v>
      </c>
      <c r="K457">
        <v>191</v>
      </c>
      <c r="L457" t="s">
        <v>22</v>
      </c>
      <c r="M457" t="s">
        <v>18</v>
      </c>
      <c r="N457">
        <v>8.35</v>
      </c>
    </row>
    <row r="458" spans="1:14">
      <c r="C458"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B9B3E-305C-4DF2-BB00-C4CE97EE2000}">
  <dimension ref="A1:Q302"/>
  <sheetViews>
    <sheetView topLeftCell="I1" workbookViewId="0">
      <selection activeCell="R280" sqref="R280"/>
    </sheetView>
  </sheetViews>
  <sheetFormatPr defaultRowHeight="14.25"/>
  <cols>
    <col min="1" max="1" width="9.75" bestFit="1" customWidth="1"/>
    <col min="2" max="2" width="11" bestFit="1" customWidth="1"/>
    <col min="3" max="3" width="10.375" bestFit="1" customWidth="1"/>
    <col min="4" max="4" width="15.625" bestFit="1" customWidth="1"/>
    <col min="5" max="5" width="52.875" bestFit="1" customWidth="1"/>
    <col min="6" max="6" width="8" bestFit="1" customWidth="1"/>
    <col min="7" max="7" width="9.375" bestFit="1" customWidth="1"/>
    <col min="8" max="8" width="13.25" bestFit="1" customWidth="1"/>
    <col min="9" max="9" width="14.375" bestFit="1" customWidth="1"/>
    <col min="10" max="11" width="8.875" bestFit="1" customWidth="1"/>
    <col min="12" max="12" width="31.375" bestFit="1" customWidth="1"/>
    <col min="13" max="13" width="18.625" bestFit="1" customWidth="1"/>
    <col min="14" max="14" width="19.75" bestFit="1" customWidth="1"/>
    <col min="15" max="15" width="21.875" bestFit="1" customWidth="1"/>
    <col min="16" max="16" width="21.5" bestFit="1" customWidth="1"/>
    <col min="17" max="17" width="17.625" bestFit="1" customWidth="1"/>
    <col min="18" max="18" width="27.25" bestFit="1" customWidth="1"/>
    <col min="19" max="19" width="26.375" bestFit="1" customWidth="1"/>
    <col min="20" max="20" width="9.125" bestFit="1" customWidth="1"/>
  </cols>
  <sheetData>
    <row r="1" spans="1:17">
      <c r="A1" t="s">
        <v>0</v>
      </c>
      <c r="B1" t="s">
        <v>1</v>
      </c>
      <c r="C1" t="s">
        <v>2</v>
      </c>
      <c r="D1" t="s">
        <v>3</v>
      </c>
      <c r="E1" t="s">
        <v>4</v>
      </c>
      <c r="F1" t="s">
        <v>5</v>
      </c>
      <c r="G1" t="s">
        <v>6</v>
      </c>
      <c r="H1" t="s">
        <v>7</v>
      </c>
      <c r="I1" t="s">
        <v>8</v>
      </c>
      <c r="J1" t="s">
        <v>9</v>
      </c>
      <c r="K1" t="s">
        <v>10</v>
      </c>
      <c r="L1" t="s">
        <v>11</v>
      </c>
      <c r="M1" t="s">
        <v>12</v>
      </c>
      <c r="N1" t="s">
        <v>342</v>
      </c>
      <c r="O1" t="s">
        <v>430</v>
      </c>
      <c r="P1" t="s">
        <v>431</v>
      </c>
      <c r="Q1" t="s">
        <v>423</v>
      </c>
    </row>
    <row r="2" spans="1:17">
      <c r="A2" t="s">
        <v>13</v>
      </c>
      <c r="B2" t="s">
        <v>14</v>
      </c>
      <c r="C2" s="1">
        <v>45649</v>
      </c>
      <c r="D2" t="s">
        <v>15</v>
      </c>
      <c r="E2" t="s">
        <v>16</v>
      </c>
      <c r="F2">
        <v>1461</v>
      </c>
      <c r="G2">
        <v>184</v>
      </c>
      <c r="H2">
        <v>344</v>
      </c>
      <c r="I2">
        <v>21915</v>
      </c>
      <c r="J2">
        <v>21675</v>
      </c>
      <c r="K2">
        <v>15</v>
      </c>
      <c r="L2" t="s">
        <v>17</v>
      </c>
      <c r="M2" t="s">
        <v>18</v>
      </c>
      <c r="N2">
        <v>9.08</v>
      </c>
      <c r="O2" s="1">
        <v>45505</v>
      </c>
      <c r="P2" s="1">
        <v>45535</v>
      </c>
      <c r="Q2" t="s">
        <v>417</v>
      </c>
    </row>
    <row r="3" spans="1:17">
      <c r="A3" t="s">
        <v>24</v>
      </c>
      <c r="B3" t="s">
        <v>25</v>
      </c>
      <c r="C3" s="1">
        <v>45789</v>
      </c>
      <c r="D3" t="s">
        <v>15</v>
      </c>
      <c r="E3" t="s">
        <v>16</v>
      </c>
      <c r="F3">
        <v>2795</v>
      </c>
      <c r="G3">
        <v>105</v>
      </c>
      <c r="H3">
        <v>49</v>
      </c>
      <c r="I3">
        <v>53105</v>
      </c>
      <c r="J3">
        <v>52307</v>
      </c>
      <c r="K3">
        <v>204</v>
      </c>
      <c r="L3" t="s">
        <v>357</v>
      </c>
      <c r="M3" t="s">
        <v>18</v>
      </c>
      <c r="N3">
        <v>5.55</v>
      </c>
      <c r="O3" s="1">
        <v>45505</v>
      </c>
      <c r="P3" s="1">
        <v>45535</v>
      </c>
      <c r="Q3" t="s">
        <v>417</v>
      </c>
    </row>
    <row r="4" spans="1:17">
      <c r="A4" t="s">
        <v>26</v>
      </c>
      <c r="B4" t="s">
        <v>27</v>
      </c>
      <c r="C4" s="1">
        <v>45516</v>
      </c>
      <c r="D4" t="s">
        <v>28</v>
      </c>
      <c r="E4" t="s">
        <v>29</v>
      </c>
      <c r="F4">
        <v>2404</v>
      </c>
      <c r="G4">
        <v>363</v>
      </c>
      <c r="H4">
        <v>138</v>
      </c>
      <c r="I4">
        <v>19232</v>
      </c>
      <c r="J4">
        <v>18636</v>
      </c>
      <c r="K4">
        <v>128</v>
      </c>
      <c r="L4" t="s">
        <v>17</v>
      </c>
      <c r="M4" t="s">
        <v>18</v>
      </c>
      <c r="N4">
        <v>15.11</v>
      </c>
      <c r="O4" s="1">
        <v>45505</v>
      </c>
      <c r="P4" s="1">
        <v>45535</v>
      </c>
      <c r="Q4" t="s">
        <v>418</v>
      </c>
    </row>
    <row r="5" spans="1:17">
      <c r="A5" t="s">
        <v>19</v>
      </c>
      <c r="B5" t="s">
        <v>14</v>
      </c>
      <c r="C5" s="1">
        <v>45750</v>
      </c>
      <c r="D5" t="s">
        <v>20</v>
      </c>
      <c r="E5" t="s">
        <v>21</v>
      </c>
      <c r="F5">
        <v>4054</v>
      </c>
      <c r="G5">
        <v>389</v>
      </c>
      <c r="H5">
        <v>493</v>
      </c>
      <c r="I5">
        <v>64864</v>
      </c>
      <c r="J5">
        <v>64383</v>
      </c>
      <c r="K5">
        <v>117</v>
      </c>
      <c r="L5" t="s">
        <v>22</v>
      </c>
      <c r="M5" t="s">
        <v>23</v>
      </c>
      <c r="N5">
        <v>7.61</v>
      </c>
      <c r="O5" s="1">
        <v>45453</v>
      </c>
      <c r="P5" s="1">
        <v>45478</v>
      </c>
      <c r="Q5" t="s">
        <v>417</v>
      </c>
    </row>
    <row r="6" spans="1:17">
      <c r="A6" t="s">
        <v>30</v>
      </c>
      <c r="B6" t="s">
        <v>25</v>
      </c>
      <c r="C6" s="1">
        <v>45469</v>
      </c>
      <c r="D6" t="s">
        <v>15</v>
      </c>
      <c r="E6" t="s">
        <v>16</v>
      </c>
      <c r="F6">
        <v>3557</v>
      </c>
      <c r="G6">
        <v>687</v>
      </c>
      <c r="H6">
        <v>424</v>
      </c>
      <c r="I6">
        <v>71140</v>
      </c>
      <c r="J6">
        <v>70701</v>
      </c>
      <c r="K6">
        <v>224</v>
      </c>
      <c r="L6" t="s">
        <v>358</v>
      </c>
      <c r="M6" t="s">
        <v>32</v>
      </c>
      <c r="N6">
        <v>6.56</v>
      </c>
      <c r="O6" s="1">
        <v>45570</v>
      </c>
      <c r="P6" s="1">
        <v>45601</v>
      </c>
      <c r="Q6" t="s">
        <v>419</v>
      </c>
    </row>
    <row r="7" spans="1:17">
      <c r="A7" t="s">
        <v>33</v>
      </c>
      <c r="B7" t="s">
        <v>34</v>
      </c>
      <c r="C7" s="1">
        <v>45596</v>
      </c>
      <c r="D7" t="s">
        <v>35</v>
      </c>
      <c r="E7" t="s">
        <v>36</v>
      </c>
      <c r="F7">
        <v>2945</v>
      </c>
      <c r="G7">
        <v>930</v>
      </c>
      <c r="H7">
        <v>355</v>
      </c>
      <c r="I7">
        <v>23560</v>
      </c>
      <c r="J7">
        <v>23275</v>
      </c>
      <c r="K7">
        <v>256</v>
      </c>
      <c r="L7" t="s">
        <v>37</v>
      </c>
      <c r="M7" t="s">
        <v>23</v>
      </c>
      <c r="N7">
        <v>17.95</v>
      </c>
      <c r="O7" s="1">
        <v>45453</v>
      </c>
      <c r="P7" s="1">
        <v>45478</v>
      </c>
      <c r="Q7" t="s">
        <v>417</v>
      </c>
    </row>
    <row r="8" spans="1:17">
      <c r="A8" t="s">
        <v>38</v>
      </c>
      <c r="B8" t="s">
        <v>14</v>
      </c>
      <c r="C8" s="1">
        <v>45467</v>
      </c>
      <c r="D8" t="s">
        <v>35</v>
      </c>
      <c r="E8" t="s">
        <v>36</v>
      </c>
      <c r="F8">
        <v>3860</v>
      </c>
      <c r="G8">
        <v>201</v>
      </c>
      <c r="H8">
        <v>279</v>
      </c>
      <c r="I8">
        <v>61760</v>
      </c>
      <c r="J8">
        <v>61660</v>
      </c>
      <c r="K8">
        <v>235</v>
      </c>
      <c r="L8" t="s">
        <v>37</v>
      </c>
      <c r="M8" t="s">
        <v>32</v>
      </c>
      <c r="N8">
        <v>7.03</v>
      </c>
      <c r="O8" s="1">
        <v>45570</v>
      </c>
      <c r="P8" s="1">
        <v>45601</v>
      </c>
      <c r="Q8" t="s">
        <v>419</v>
      </c>
    </row>
    <row r="9" spans="1:17">
      <c r="A9" t="s">
        <v>39</v>
      </c>
      <c r="B9" t="s">
        <v>25</v>
      </c>
      <c r="C9" s="1">
        <v>45486</v>
      </c>
      <c r="D9" t="s">
        <v>40</v>
      </c>
      <c r="E9" t="s">
        <v>41</v>
      </c>
      <c r="F9">
        <v>3929</v>
      </c>
      <c r="G9">
        <v>262</v>
      </c>
      <c r="H9">
        <v>278</v>
      </c>
      <c r="I9">
        <v>43219</v>
      </c>
      <c r="J9">
        <v>42841</v>
      </c>
      <c r="K9">
        <v>39</v>
      </c>
      <c r="L9" t="s">
        <v>357</v>
      </c>
      <c r="M9" t="s">
        <v>32</v>
      </c>
      <c r="N9">
        <v>10.34</v>
      </c>
      <c r="O9" s="1">
        <v>45570</v>
      </c>
      <c r="P9" s="1">
        <v>45601</v>
      </c>
      <c r="Q9" t="s">
        <v>419</v>
      </c>
    </row>
    <row r="10" spans="1:17">
      <c r="A10" t="s">
        <v>42</v>
      </c>
      <c r="B10" t="s">
        <v>34</v>
      </c>
      <c r="C10" s="1">
        <v>45534</v>
      </c>
      <c r="D10" t="s">
        <v>20</v>
      </c>
      <c r="E10" t="s">
        <v>21</v>
      </c>
      <c r="F10">
        <v>3784</v>
      </c>
      <c r="G10">
        <v>808</v>
      </c>
      <c r="H10">
        <v>404</v>
      </c>
      <c r="I10">
        <v>56760</v>
      </c>
      <c r="J10">
        <v>56343</v>
      </c>
      <c r="K10">
        <v>131</v>
      </c>
      <c r="L10" t="s">
        <v>357</v>
      </c>
      <c r="M10" t="s">
        <v>32</v>
      </c>
      <c r="N10">
        <v>8.8000000000000007</v>
      </c>
      <c r="O10" s="1">
        <v>45570</v>
      </c>
      <c r="P10" s="1">
        <v>45601</v>
      </c>
      <c r="Q10" t="s">
        <v>419</v>
      </c>
    </row>
    <row r="11" spans="1:17">
      <c r="A11" t="s">
        <v>43</v>
      </c>
      <c r="B11" t="s">
        <v>34</v>
      </c>
      <c r="C11" s="1">
        <v>45727</v>
      </c>
      <c r="D11" t="s">
        <v>40</v>
      </c>
      <c r="E11" t="s">
        <v>41</v>
      </c>
      <c r="F11">
        <v>4241</v>
      </c>
      <c r="G11">
        <v>902</v>
      </c>
      <c r="H11">
        <v>47</v>
      </c>
      <c r="I11">
        <v>72097</v>
      </c>
      <c r="J11">
        <v>71598</v>
      </c>
      <c r="K11">
        <v>167</v>
      </c>
      <c r="L11" t="s">
        <v>37</v>
      </c>
      <c r="M11" t="s">
        <v>44</v>
      </c>
      <c r="N11">
        <v>7.2</v>
      </c>
      <c r="O11" s="1">
        <v>45667</v>
      </c>
      <c r="P11" s="1">
        <v>45698</v>
      </c>
      <c r="Q11" t="s">
        <v>417</v>
      </c>
    </row>
    <row r="12" spans="1:17">
      <c r="A12" t="s">
        <v>45</v>
      </c>
      <c r="B12" t="s">
        <v>27</v>
      </c>
      <c r="C12" s="1">
        <v>45690</v>
      </c>
      <c r="D12" t="s">
        <v>28</v>
      </c>
      <c r="E12" t="s">
        <v>29</v>
      </c>
      <c r="F12">
        <v>1792</v>
      </c>
      <c r="G12">
        <v>614</v>
      </c>
      <c r="H12">
        <v>497</v>
      </c>
      <c r="I12">
        <v>25088</v>
      </c>
      <c r="J12">
        <v>24675</v>
      </c>
      <c r="K12">
        <v>65</v>
      </c>
      <c r="L12" t="s">
        <v>31</v>
      </c>
      <c r="M12" t="s">
        <v>18</v>
      </c>
      <c r="N12">
        <v>11.57</v>
      </c>
      <c r="O12" s="1">
        <v>45505</v>
      </c>
      <c r="P12" s="1">
        <v>45535</v>
      </c>
      <c r="Q12" t="s">
        <v>417</v>
      </c>
    </row>
    <row r="13" spans="1:17">
      <c r="A13" t="s">
        <v>46</v>
      </c>
      <c r="B13" t="s">
        <v>34</v>
      </c>
      <c r="C13" s="1">
        <v>45494</v>
      </c>
      <c r="D13" t="s">
        <v>15</v>
      </c>
      <c r="E13" t="s">
        <v>16</v>
      </c>
      <c r="F13">
        <v>1946</v>
      </c>
      <c r="G13">
        <v>686</v>
      </c>
      <c r="H13">
        <v>377</v>
      </c>
      <c r="I13">
        <v>23352</v>
      </c>
      <c r="J13">
        <v>22982</v>
      </c>
      <c r="K13">
        <v>213</v>
      </c>
      <c r="L13" t="s">
        <v>359</v>
      </c>
      <c r="M13" t="s">
        <v>32</v>
      </c>
      <c r="N13">
        <v>12.89</v>
      </c>
      <c r="O13" s="1">
        <v>45570</v>
      </c>
      <c r="P13" s="1">
        <v>45601</v>
      </c>
      <c r="Q13" t="s">
        <v>419</v>
      </c>
    </row>
    <row r="14" spans="1:17">
      <c r="A14" t="s">
        <v>47</v>
      </c>
      <c r="B14" t="s">
        <v>25</v>
      </c>
      <c r="C14" s="1">
        <v>45614</v>
      </c>
      <c r="D14" t="s">
        <v>35</v>
      </c>
      <c r="E14" t="s">
        <v>36</v>
      </c>
      <c r="F14">
        <v>1171</v>
      </c>
      <c r="G14">
        <v>286</v>
      </c>
      <c r="H14">
        <v>231</v>
      </c>
      <c r="I14">
        <v>22249</v>
      </c>
      <c r="J14">
        <v>21282</v>
      </c>
      <c r="K14">
        <v>114</v>
      </c>
      <c r="L14" t="s">
        <v>22</v>
      </c>
      <c r="M14" t="s">
        <v>44</v>
      </c>
      <c r="N14">
        <v>7.59</v>
      </c>
      <c r="O14" s="1">
        <v>45667</v>
      </c>
      <c r="P14" s="1">
        <v>45698</v>
      </c>
      <c r="Q14" t="s">
        <v>419</v>
      </c>
    </row>
    <row r="15" spans="1:17">
      <c r="A15" t="s">
        <v>48</v>
      </c>
      <c r="B15" t="s">
        <v>34</v>
      </c>
      <c r="C15" s="1">
        <v>45704</v>
      </c>
      <c r="D15" t="s">
        <v>28</v>
      </c>
      <c r="E15" t="s">
        <v>29</v>
      </c>
      <c r="F15">
        <v>4242</v>
      </c>
      <c r="G15">
        <v>555</v>
      </c>
      <c r="H15">
        <v>131</v>
      </c>
      <c r="I15">
        <v>33936</v>
      </c>
      <c r="J15">
        <v>33802</v>
      </c>
      <c r="K15">
        <v>265</v>
      </c>
      <c r="L15" t="s">
        <v>360</v>
      </c>
      <c r="M15" t="s">
        <v>32</v>
      </c>
      <c r="N15">
        <v>14.52</v>
      </c>
      <c r="O15" s="1">
        <v>45570</v>
      </c>
      <c r="P15" s="1">
        <v>45601</v>
      </c>
      <c r="Q15" t="s">
        <v>417</v>
      </c>
    </row>
    <row r="16" spans="1:17">
      <c r="A16" t="s">
        <v>49</v>
      </c>
      <c r="B16" t="s">
        <v>34</v>
      </c>
      <c r="C16" s="1">
        <v>45589</v>
      </c>
      <c r="D16" t="s">
        <v>50</v>
      </c>
      <c r="E16" t="s">
        <v>51</v>
      </c>
      <c r="F16">
        <v>3888</v>
      </c>
      <c r="G16">
        <v>604</v>
      </c>
      <c r="H16">
        <v>128</v>
      </c>
      <c r="I16">
        <v>77760</v>
      </c>
      <c r="J16">
        <v>77167</v>
      </c>
      <c r="K16">
        <v>20</v>
      </c>
      <c r="L16" t="s">
        <v>361</v>
      </c>
      <c r="M16" t="s">
        <v>18</v>
      </c>
      <c r="N16">
        <v>5.94</v>
      </c>
      <c r="O16" s="1">
        <v>45505</v>
      </c>
      <c r="P16" s="1">
        <v>45535</v>
      </c>
      <c r="Q16" t="s">
        <v>417</v>
      </c>
    </row>
    <row r="17" spans="1:17">
      <c r="A17" t="s">
        <v>53</v>
      </c>
      <c r="B17" t="s">
        <v>34</v>
      </c>
      <c r="C17" s="1">
        <v>45530</v>
      </c>
      <c r="D17" t="s">
        <v>20</v>
      </c>
      <c r="E17" t="s">
        <v>21</v>
      </c>
      <c r="F17">
        <v>3452</v>
      </c>
      <c r="G17">
        <v>377</v>
      </c>
      <c r="H17">
        <v>360</v>
      </c>
      <c r="I17">
        <v>55232</v>
      </c>
      <c r="J17">
        <v>55075</v>
      </c>
      <c r="K17">
        <v>87</v>
      </c>
      <c r="L17" t="s">
        <v>362</v>
      </c>
      <c r="M17" t="s">
        <v>32</v>
      </c>
      <c r="N17">
        <v>7.58</v>
      </c>
      <c r="O17" s="1">
        <v>45570</v>
      </c>
      <c r="P17" s="1">
        <v>45601</v>
      </c>
      <c r="Q17" t="s">
        <v>419</v>
      </c>
    </row>
    <row r="18" spans="1:17">
      <c r="A18" t="s">
        <v>54</v>
      </c>
      <c r="B18" t="s">
        <v>34</v>
      </c>
      <c r="C18" s="1">
        <v>45782</v>
      </c>
      <c r="D18" t="s">
        <v>20</v>
      </c>
      <c r="E18" t="s">
        <v>21</v>
      </c>
      <c r="F18">
        <v>4441</v>
      </c>
      <c r="G18">
        <v>511</v>
      </c>
      <c r="H18">
        <v>70</v>
      </c>
      <c r="I18">
        <v>53292</v>
      </c>
      <c r="J18">
        <v>53082</v>
      </c>
      <c r="K18">
        <v>159</v>
      </c>
      <c r="L18" t="s">
        <v>52</v>
      </c>
      <c r="M18" t="s">
        <v>32</v>
      </c>
      <c r="N18">
        <v>9.42</v>
      </c>
      <c r="O18" s="1">
        <v>45570</v>
      </c>
      <c r="P18" s="1">
        <v>45601</v>
      </c>
      <c r="Q18" t="s">
        <v>417</v>
      </c>
    </row>
    <row r="19" spans="1:17">
      <c r="A19" t="s">
        <v>55</v>
      </c>
      <c r="B19" t="s">
        <v>27</v>
      </c>
      <c r="C19" s="1">
        <v>45523</v>
      </c>
      <c r="D19" t="s">
        <v>15</v>
      </c>
      <c r="E19" t="s">
        <v>16</v>
      </c>
      <c r="F19">
        <v>3000</v>
      </c>
      <c r="G19">
        <v>382</v>
      </c>
      <c r="H19">
        <v>325</v>
      </c>
      <c r="I19">
        <v>36000</v>
      </c>
      <c r="J19">
        <v>35819</v>
      </c>
      <c r="K19">
        <v>19</v>
      </c>
      <c r="L19" t="s">
        <v>31</v>
      </c>
      <c r="M19" t="s">
        <v>23</v>
      </c>
      <c r="N19">
        <v>10.3</v>
      </c>
      <c r="O19" s="1">
        <v>45453</v>
      </c>
      <c r="P19" s="1">
        <v>45478</v>
      </c>
      <c r="Q19" t="s">
        <v>417</v>
      </c>
    </row>
    <row r="20" spans="1:17">
      <c r="A20" t="s">
        <v>56</v>
      </c>
      <c r="B20" t="s">
        <v>27</v>
      </c>
      <c r="C20" s="1">
        <v>45466</v>
      </c>
      <c r="D20" t="s">
        <v>50</v>
      </c>
      <c r="E20" t="s">
        <v>51</v>
      </c>
      <c r="F20">
        <v>1071</v>
      </c>
      <c r="G20">
        <v>519</v>
      </c>
      <c r="H20">
        <v>22</v>
      </c>
      <c r="I20">
        <v>16065</v>
      </c>
      <c r="J20">
        <v>15865</v>
      </c>
      <c r="K20">
        <v>103</v>
      </c>
      <c r="L20" t="s">
        <v>363</v>
      </c>
      <c r="M20" t="s">
        <v>32</v>
      </c>
      <c r="N20">
        <v>10.029999999999999</v>
      </c>
      <c r="O20" s="1">
        <v>45570</v>
      </c>
      <c r="P20" s="1">
        <v>45601</v>
      </c>
      <c r="Q20" t="s">
        <v>419</v>
      </c>
    </row>
    <row r="21" spans="1:17">
      <c r="A21" t="s">
        <v>57</v>
      </c>
      <c r="B21" t="s">
        <v>27</v>
      </c>
      <c r="C21" s="1">
        <v>45544</v>
      </c>
      <c r="D21" t="s">
        <v>35</v>
      </c>
      <c r="E21" t="s">
        <v>36</v>
      </c>
      <c r="F21">
        <v>4054</v>
      </c>
      <c r="G21">
        <v>488</v>
      </c>
      <c r="H21">
        <v>373</v>
      </c>
      <c r="I21">
        <v>77026</v>
      </c>
      <c r="J21">
        <v>76881</v>
      </c>
      <c r="K21">
        <v>25</v>
      </c>
      <c r="L21" t="s">
        <v>357</v>
      </c>
      <c r="M21" t="s">
        <v>32</v>
      </c>
      <c r="N21">
        <v>6.38</v>
      </c>
      <c r="O21" s="1">
        <v>45570</v>
      </c>
      <c r="P21" s="1">
        <v>45601</v>
      </c>
      <c r="Q21" t="s">
        <v>419</v>
      </c>
    </row>
    <row r="22" spans="1:17">
      <c r="A22" t="s">
        <v>58</v>
      </c>
      <c r="B22" t="s">
        <v>27</v>
      </c>
      <c r="C22" s="1">
        <v>45661</v>
      </c>
      <c r="D22" t="s">
        <v>15</v>
      </c>
      <c r="E22" t="s">
        <v>16</v>
      </c>
      <c r="F22">
        <v>4838</v>
      </c>
      <c r="G22">
        <v>640</v>
      </c>
      <c r="H22">
        <v>128</v>
      </c>
      <c r="I22">
        <v>72570</v>
      </c>
      <c r="J22">
        <v>72396</v>
      </c>
      <c r="K22">
        <v>83</v>
      </c>
      <c r="L22" t="s">
        <v>364</v>
      </c>
      <c r="M22" t="s">
        <v>32</v>
      </c>
      <c r="N22">
        <v>7.72</v>
      </c>
      <c r="O22" s="1">
        <v>45570</v>
      </c>
      <c r="P22" s="1">
        <v>45601</v>
      </c>
      <c r="Q22" t="s">
        <v>417</v>
      </c>
    </row>
    <row r="23" spans="1:17">
      <c r="A23" t="s">
        <v>59</v>
      </c>
      <c r="B23" t="s">
        <v>34</v>
      </c>
      <c r="C23" s="1">
        <v>45715</v>
      </c>
      <c r="D23" t="s">
        <v>20</v>
      </c>
      <c r="E23" t="s">
        <v>21</v>
      </c>
      <c r="F23">
        <v>1570</v>
      </c>
      <c r="G23">
        <v>187</v>
      </c>
      <c r="H23">
        <v>260</v>
      </c>
      <c r="I23">
        <v>25120</v>
      </c>
      <c r="J23">
        <v>24613</v>
      </c>
      <c r="K23">
        <v>133</v>
      </c>
      <c r="L23" t="s">
        <v>17</v>
      </c>
      <c r="M23" t="s">
        <v>44</v>
      </c>
      <c r="N23">
        <v>8.0299999999999994</v>
      </c>
      <c r="O23" s="1">
        <v>45667</v>
      </c>
      <c r="P23" s="1">
        <v>45698</v>
      </c>
      <c r="Q23" t="s">
        <v>417</v>
      </c>
    </row>
    <row r="24" spans="1:17">
      <c r="A24" t="s">
        <v>60</v>
      </c>
      <c r="B24" t="s">
        <v>34</v>
      </c>
      <c r="C24" s="1">
        <v>45602</v>
      </c>
      <c r="D24" t="s">
        <v>50</v>
      </c>
      <c r="E24" t="s">
        <v>51</v>
      </c>
      <c r="F24">
        <v>1606</v>
      </c>
      <c r="G24">
        <v>547</v>
      </c>
      <c r="H24">
        <v>316</v>
      </c>
      <c r="I24">
        <v>32120</v>
      </c>
      <c r="J24">
        <v>31736</v>
      </c>
      <c r="K24">
        <v>225</v>
      </c>
      <c r="L24" t="s">
        <v>17</v>
      </c>
      <c r="M24" t="s">
        <v>32</v>
      </c>
      <c r="N24">
        <v>7.69</v>
      </c>
      <c r="O24" s="1">
        <v>45570</v>
      </c>
      <c r="P24" s="1">
        <v>45601</v>
      </c>
      <c r="Q24" t="s">
        <v>417</v>
      </c>
    </row>
    <row r="25" spans="1:17">
      <c r="A25" t="s">
        <v>61</v>
      </c>
      <c r="B25" t="s">
        <v>34</v>
      </c>
      <c r="C25" s="1">
        <v>45680</v>
      </c>
      <c r="D25" t="s">
        <v>50</v>
      </c>
      <c r="E25" t="s">
        <v>51</v>
      </c>
      <c r="F25">
        <v>3961</v>
      </c>
      <c r="G25">
        <v>761</v>
      </c>
      <c r="H25">
        <v>131</v>
      </c>
      <c r="I25">
        <v>67337</v>
      </c>
      <c r="J25">
        <v>66615</v>
      </c>
      <c r="K25">
        <v>161</v>
      </c>
      <c r="L25" t="s">
        <v>37</v>
      </c>
      <c r="M25" t="s">
        <v>23</v>
      </c>
      <c r="N25">
        <v>7.21</v>
      </c>
      <c r="O25" s="1">
        <v>45453</v>
      </c>
      <c r="P25" s="1">
        <v>45478</v>
      </c>
      <c r="Q25" t="s">
        <v>417</v>
      </c>
    </row>
    <row r="26" spans="1:17">
      <c r="A26" t="s">
        <v>62</v>
      </c>
      <c r="B26" t="s">
        <v>14</v>
      </c>
      <c r="C26" s="1">
        <v>45757</v>
      </c>
      <c r="D26" t="s">
        <v>35</v>
      </c>
      <c r="E26" t="s">
        <v>36</v>
      </c>
      <c r="F26">
        <v>3128</v>
      </c>
      <c r="G26">
        <v>211</v>
      </c>
      <c r="H26">
        <v>197</v>
      </c>
      <c r="I26">
        <v>59432</v>
      </c>
      <c r="J26">
        <v>59182</v>
      </c>
      <c r="K26">
        <v>238</v>
      </c>
      <c r="L26" t="s">
        <v>359</v>
      </c>
      <c r="M26" t="s">
        <v>18</v>
      </c>
      <c r="N26">
        <v>5.95</v>
      </c>
      <c r="O26" s="1">
        <v>45505</v>
      </c>
      <c r="P26" s="1">
        <v>45535</v>
      </c>
      <c r="Q26" t="s">
        <v>417</v>
      </c>
    </row>
    <row r="27" spans="1:17">
      <c r="A27" t="s">
        <v>63</v>
      </c>
      <c r="B27" t="s">
        <v>25</v>
      </c>
      <c r="C27" s="1">
        <v>45752</v>
      </c>
      <c r="D27" t="s">
        <v>15</v>
      </c>
      <c r="E27" t="s">
        <v>16</v>
      </c>
      <c r="F27">
        <v>3009</v>
      </c>
      <c r="G27">
        <v>413</v>
      </c>
      <c r="H27">
        <v>358</v>
      </c>
      <c r="I27">
        <v>42126</v>
      </c>
      <c r="J27">
        <v>41309</v>
      </c>
      <c r="K27">
        <v>211</v>
      </c>
      <c r="L27" t="s">
        <v>17</v>
      </c>
      <c r="M27" t="s">
        <v>23</v>
      </c>
      <c r="N27">
        <v>8.9700000000000006</v>
      </c>
      <c r="O27" s="1">
        <v>45453</v>
      </c>
      <c r="P27" s="1">
        <v>45478</v>
      </c>
      <c r="Q27" t="s">
        <v>417</v>
      </c>
    </row>
    <row r="28" spans="1:17">
      <c r="A28" t="s">
        <v>64</v>
      </c>
      <c r="B28" t="s">
        <v>25</v>
      </c>
      <c r="C28" s="1">
        <v>45552</v>
      </c>
      <c r="D28" t="s">
        <v>20</v>
      </c>
      <c r="E28" t="s">
        <v>21</v>
      </c>
      <c r="F28">
        <v>2076</v>
      </c>
      <c r="G28">
        <v>195</v>
      </c>
      <c r="H28">
        <v>104</v>
      </c>
      <c r="I28">
        <v>33216</v>
      </c>
      <c r="J28">
        <v>32244</v>
      </c>
      <c r="K28">
        <v>51</v>
      </c>
      <c r="L28" t="s">
        <v>37</v>
      </c>
      <c r="M28" t="s">
        <v>44</v>
      </c>
      <c r="N28">
        <v>7.15</v>
      </c>
      <c r="O28" s="1">
        <v>45667</v>
      </c>
      <c r="P28" s="1">
        <v>45698</v>
      </c>
      <c r="Q28" t="s">
        <v>419</v>
      </c>
    </row>
    <row r="29" spans="1:17">
      <c r="A29" t="s">
        <v>65</v>
      </c>
      <c r="B29" t="s">
        <v>27</v>
      </c>
      <c r="C29" s="1">
        <v>45720</v>
      </c>
      <c r="D29" t="s">
        <v>50</v>
      </c>
      <c r="E29" t="s">
        <v>51</v>
      </c>
      <c r="F29">
        <v>432</v>
      </c>
      <c r="G29">
        <v>624</v>
      </c>
      <c r="H29">
        <v>123</v>
      </c>
      <c r="I29">
        <v>6912</v>
      </c>
      <c r="J29">
        <v>6259</v>
      </c>
      <c r="K29">
        <v>79</v>
      </c>
      <c r="L29" t="s">
        <v>365</v>
      </c>
      <c r="M29" t="s">
        <v>23</v>
      </c>
      <c r="N29">
        <v>17.059999999999999</v>
      </c>
      <c r="O29" s="1">
        <v>45453</v>
      </c>
      <c r="P29" s="1">
        <v>45478</v>
      </c>
      <c r="Q29" t="s">
        <v>417</v>
      </c>
    </row>
    <row r="30" spans="1:17">
      <c r="A30" t="s">
        <v>66</v>
      </c>
      <c r="B30" t="s">
        <v>27</v>
      </c>
      <c r="C30" s="1">
        <v>45688</v>
      </c>
      <c r="D30" t="s">
        <v>35</v>
      </c>
      <c r="E30" t="s">
        <v>36</v>
      </c>
      <c r="F30">
        <v>2566</v>
      </c>
      <c r="G30">
        <v>118</v>
      </c>
      <c r="H30">
        <v>37</v>
      </c>
      <c r="I30">
        <v>12830</v>
      </c>
      <c r="J30">
        <v>12264</v>
      </c>
      <c r="K30">
        <v>221</v>
      </c>
      <c r="L30" t="s">
        <v>366</v>
      </c>
      <c r="M30" t="s">
        <v>32</v>
      </c>
      <c r="N30">
        <v>21.21</v>
      </c>
      <c r="O30" s="1">
        <v>45570</v>
      </c>
      <c r="P30" s="1">
        <v>45601</v>
      </c>
      <c r="Q30" t="s">
        <v>417</v>
      </c>
    </row>
    <row r="31" spans="1:17">
      <c r="A31" t="s">
        <v>67</v>
      </c>
      <c r="B31" t="s">
        <v>27</v>
      </c>
      <c r="C31" s="1">
        <v>45713</v>
      </c>
      <c r="D31" t="s">
        <v>50</v>
      </c>
      <c r="E31" t="s">
        <v>51</v>
      </c>
      <c r="F31">
        <v>3095</v>
      </c>
      <c r="G31">
        <v>39</v>
      </c>
      <c r="H31">
        <v>78</v>
      </c>
      <c r="I31">
        <v>55710</v>
      </c>
      <c r="J31">
        <v>54808</v>
      </c>
      <c r="K31">
        <v>93</v>
      </c>
      <c r="L31" t="s">
        <v>17</v>
      </c>
      <c r="M31" t="s">
        <v>44</v>
      </c>
      <c r="N31">
        <v>5.77</v>
      </c>
      <c r="O31" s="1">
        <v>45667</v>
      </c>
      <c r="P31" s="1">
        <v>45698</v>
      </c>
      <c r="Q31" t="s">
        <v>417</v>
      </c>
    </row>
    <row r="32" spans="1:17">
      <c r="A32" t="s">
        <v>68</v>
      </c>
      <c r="B32" t="s">
        <v>27</v>
      </c>
      <c r="C32" s="1">
        <v>45642</v>
      </c>
      <c r="D32" t="s">
        <v>20</v>
      </c>
      <c r="E32" t="s">
        <v>21</v>
      </c>
      <c r="F32">
        <v>438</v>
      </c>
      <c r="G32">
        <v>153</v>
      </c>
      <c r="H32">
        <v>275</v>
      </c>
      <c r="I32">
        <v>3066</v>
      </c>
      <c r="J32">
        <v>2701</v>
      </c>
      <c r="K32">
        <v>282</v>
      </c>
      <c r="L32" t="s">
        <v>37</v>
      </c>
      <c r="M32" t="s">
        <v>44</v>
      </c>
      <c r="N32">
        <v>28.25</v>
      </c>
      <c r="O32" s="1">
        <v>45667</v>
      </c>
      <c r="P32" s="1">
        <v>45698</v>
      </c>
      <c r="Q32" t="s">
        <v>419</v>
      </c>
    </row>
    <row r="33" spans="1:17">
      <c r="A33" t="s">
        <v>69</v>
      </c>
      <c r="B33" t="s">
        <v>14</v>
      </c>
      <c r="C33" s="1">
        <v>45504</v>
      </c>
      <c r="D33" t="s">
        <v>35</v>
      </c>
      <c r="E33" t="s">
        <v>36</v>
      </c>
      <c r="F33">
        <v>2278</v>
      </c>
      <c r="G33">
        <v>10</v>
      </c>
      <c r="H33">
        <v>321</v>
      </c>
      <c r="I33">
        <v>13668</v>
      </c>
      <c r="J33">
        <v>12676</v>
      </c>
      <c r="K33">
        <v>275</v>
      </c>
      <c r="L33" t="s">
        <v>366</v>
      </c>
      <c r="M33" t="s">
        <v>44</v>
      </c>
      <c r="N33">
        <v>19.09</v>
      </c>
      <c r="O33" s="1">
        <v>45667</v>
      </c>
      <c r="P33" s="1">
        <v>45698</v>
      </c>
      <c r="Q33" t="s">
        <v>419</v>
      </c>
    </row>
    <row r="34" spans="1:17">
      <c r="A34" t="s">
        <v>70</v>
      </c>
      <c r="B34" t="s">
        <v>34</v>
      </c>
      <c r="C34" s="1">
        <v>45525</v>
      </c>
      <c r="D34" t="s">
        <v>40</v>
      </c>
      <c r="E34" t="s">
        <v>41</v>
      </c>
      <c r="F34">
        <v>1407</v>
      </c>
      <c r="G34">
        <v>400</v>
      </c>
      <c r="H34">
        <v>351</v>
      </c>
      <c r="I34">
        <v>16884</v>
      </c>
      <c r="J34">
        <v>15954</v>
      </c>
      <c r="K34">
        <v>113</v>
      </c>
      <c r="L34" t="s">
        <v>361</v>
      </c>
      <c r="M34" t="s">
        <v>32</v>
      </c>
      <c r="N34">
        <v>12.78</v>
      </c>
      <c r="O34" s="1">
        <v>45570</v>
      </c>
      <c r="P34" s="1">
        <v>45601</v>
      </c>
      <c r="Q34" t="s">
        <v>419</v>
      </c>
    </row>
    <row r="35" spans="1:17">
      <c r="A35" t="s">
        <v>71</v>
      </c>
      <c r="B35" t="s">
        <v>34</v>
      </c>
      <c r="C35" s="1">
        <v>45742</v>
      </c>
      <c r="D35" t="s">
        <v>20</v>
      </c>
      <c r="E35" t="s">
        <v>21</v>
      </c>
      <c r="F35">
        <v>1652</v>
      </c>
      <c r="G35">
        <v>89</v>
      </c>
      <c r="H35">
        <v>357</v>
      </c>
      <c r="I35">
        <v>29736</v>
      </c>
      <c r="J35">
        <v>28771</v>
      </c>
      <c r="K35">
        <v>215</v>
      </c>
      <c r="L35" t="s">
        <v>367</v>
      </c>
      <c r="M35" t="s">
        <v>23</v>
      </c>
      <c r="N35">
        <v>7.06</v>
      </c>
      <c r="O35" s="1">
        <v>45453</v>
      </c>
      <c r="P35" s="1">
        <v>45478</v>
      </c>
      <c r="Q35" t="s">
        <v>417</v>
      </c>
    </row>
    <row r="36" spans="1:17">
      <c r="A36" t="s">
        <v>72</v>
      </c>
      <c r="B36" t="s">
        <v>27</v>
      </c>
      <c r="C36" s="1">
        <v>45626</v>
      </c>
      <c r="D36" t="s">
        <v>50</v>
      </c>
      <c r="E36" t="s">
        <v>51</v>
      </c>
      <c r="F36">
        <v>3775</v>
      </c>
      <c r="G36">
        <v>16</v>
      </c>
      <c r="H36">
        <v>239</v>
      </c>
      <c r="I36">
        <v>33975</v>
      </c>
      <c r="J36">
        <v>33310</v>
      </c>
      <c r="K36">
        <v>271</v>
      </c>
      <c r="L36" t="s">
        <v>359</v>
      </c>
      <c r="M36" t="s">
        <v>32</v>
      </c>
      <c r="N36">
        <v>11.86</v>
      </c>
      <c r="O36" s="1">
        <v>45570</v>
      </c>
      <c r="P36" s="1">
        <v>45601</v>
      </c>
      <c r="Q36" t="s">
        <v>417</v>
      </c>
    </row>
    <row r="37" spans="1:17">
      <c r="A37" t="s">
        <v>73</v>
      </c>
      <c r="B37" t="s">
        <v>27</v>
      </c>
      <c r="C37" s="1">
        <v>45766</v>
      </c>
      <c r="D37" t="s">
        <v>28</v>
      </c>
      <c r="E37" t="s">
        <v>29</v>
      </c>
      <c r="F37">
        <v>4518</v>
      </c>
      <c r="G37">
        <v>285</v>
      </c>
      <c r="H37">
        <v>383</v>
      </c>
      <c r="I37">
        <v>67770</v>
      </c>
      <c r="J37">
        <v>67621</v>
      </c>
      <c r="K37">
        <v>31</v>
      </c>
      <c r="L37" t="s">
        <v>52</v>
      </c>
      <c r="M37" t="s">
        <v>23</v>
      </c>
      <c r="N37">
        <v>7.65</v>
      </c>
      <c r="O37" s="1">
        <v>45453</v>
      </c>
      <c r="P37" s="1">
        <v>45478</v>
      </c>
      <c r="Q37" t="s">
        <v>417</v>
      </c>
    </row>
    <row r="38" spans="1:17">
      <c r="A38" t="s">
        <v>74</v>
      </c>
      <c r="B38" t="s">
        <v>34</v>
      </c>
      <c r="C38" s="1">
        <v>45663</v>
      </c>
      <c r="D38" t="s">
        <v>35</v>
      </c>
      <c r="E38" t="s">
        <v>36</v>
      </c>
      <c r="F38">
        <v>3024</v>
      </c>
      <c r="G38">
        <v>925</v>
      </c>
      <c r="H38">
        <v>350</v>
      </c>
      <c r="I38">
        <v>24192</v>
      </c>
      <c r="J38">
        <v>23518</v>
      </c>
      <c r="K38">
        <v>36</v>
      </c>
      <c r="L38" t="s">
        <v>17</v>
      </c>
      <c r="M38" t="s">
        <v>32</v>
      </c>
      <c r="N38">
        <v>17.77</v>
      </c>
      <c r="O38" s="1">
        <v>45570</v>
      </c>
      <c r="P38" s="1">
        <v>45601</v>
      </c>
      <c r="Q38" t="s">
        <v>417</v>
      </c>
    </row>
    <row r="39" spans="1:17">
      <c r="A39" t="s">
        <v>75</v>
      </c>
      <c r="B39" t="s">
        <v>25</v>
      </c>
      <c r="C39" s="1">
        <v>45705</v>
      </c>
      <c r="D39" t="s">
        <v>15</v>
      </c>
      <c r="E39" t="s">
        <v>16</v>
      </c>
      <c r="F39">
        <v>3138</v>
      </c>
      <c r="G39">
        <v>123</v>
      </c>
      <c r="H39">
        <v>291</v>
      </c>
      <c r="I39">
        <v>28242</v>
      </c>
      <c r="J39">
        <v>27550</v>
      </c>
      <c r="K39">
        <v>87</v>
      </c>
      <c r="L39" t="s">
        <v>52</v>
      </c>
      <c r="M39" t="s">
        <v>44</v>
      </c>
      <c r="N39">
        <v>12.58</v>
      </c>
      <c r="O39" s="1">
        <v>45667</v>
      </c>
      <c r="P39" s="1">
        <v>45698</v>
      </c>
      <c r="Q39" t="s">
        <v>417</v>
      </c>
    </row>
    <row r="40" spans="1:17">
      <c r="A40" t="s">
        <v>76</v>
      </c>
      <c r="B40" t="s">
        <v>34</v>
      </c>
      <c r="C40" s="1">
        <v>45621</v>
      </c>
      <c r="D40" t="s">
        <v>40</v>
      </c>
      <c r="E40" t="s">
        <v>41</v>
      </c>
      <c r="F40">
        <v>3564</v>
      </c>
      <c r="G40">
        <v>629</v>
      </c>
      <c r="H40">
        <v>177</v>
      </c>
      <c r="I40">
        <v>60588</v>
      </c>
      <c r="J40">
        <v>59627</v>
      </c>
      <c r="K40">
        <v>92</v>
      </c>
      <c r="L40" t="s">
        <v>368</v>
      </c>
      <c r="M40" t="s">
        <v>32</v>
      </c>
      <c r="N40">
        <v>7.21</v>
      </c>
      <c r="O40" s="1">
        <v>45570</v>
      </c>
      <c r="P40" s="1">
        <v>45601</v>
      </c>
      <c r="Q40" t="s">
        <v>417</v>
      </c>
    </row>
    <row r="41" spans="1:17">
      <c r="A41" t="s">
        <v>77</v>
      </c>
      <c r="B41" t="s">
        <v>14</v>
      </c>
      <c r="C41" s="1">
        <v>45723</v>
      </c>
      <c r="D41" t="s">
        <v>40</v>
      </c>
      <c r="E41" t="s">
        <v>41</v>
      </c>
      <c r="F41">
        <v>4750</v>
      </c>
      <c r="G41">
        <v>151</v>
      </c>
      <c r="H41">
        <v>415</v>
      </c>
      <c r="I41">
        <v>38000</v>
      </c>
      <c r="J41">
        <v>37792</v>
      </c>
      <c r="K41">
        <v>299</v>
      </c>
      <c r="L41" t="s">
        <v>359</v>
      </c>
      <c r="M41" t="s">
        <v>23</v>
      </c>
      <c r="N41">
        <v>13.99</v>
      </c>
      <c r="O41" s="1">
        <v>45453</v>
      </c>
      <c r="P41" s="1">
        <v>45478</v>
      </c>
      <c r="Q41" t="s">
        <v>417</v>
      </c>
    </row>
    <row r="42" spans="1:17">
      <c r="A42" t="s">
        <v>78</v>
      </c>
      <c r="B42" t="s">
        <v>27</v>
      </c>
      <c r="C42" s="1">
        <v>45724</v>
      </c>
      <c r="D42" t="s">
        <v>15</v>
      </c>
      <c r="E42" t="s">
        <v>16</v>
      </c>
      <c r="F42">
        <v>456</v>
      </c>
      <c r="G42">
        <v>629</v>
      </c>
      <c r="H42">
        <v>428</v>
      </c>
      <c r="I42">
        <v>8208</v>
      </c>
      <c r="J42">
        <v>7377</v>
      </c>
      <c r="K42">
        <v>205</v>
      </c>
      <c r="L42" t="s">
        <v>362</v>
      </c>
      <c r="M42" t="s">
        <v>32</v>
      </c>
      <c r="N42">
        <v>18.43</v>
      </c>
      <c r="O42" s="1">
        <v>45570</v>
      </c>
      <c r="P42" s="1">
        <v>45601</v>
      </c>
      <c r="Q42" t="s">
        <v>417</v>
      </c>
    </row>
    <row r="43" spans="1:17">
      <c r="A43" t="s">
        <v>79</v>
      </c>
      <c r="B43" t="s">
        <v>25</v>
      </c>
      <c r="C43" s="1">
        <v>45721</v>
      </c>
      <c r="D43" t="s">
        <v>15</v>
      </c>
      <c r="E43" t="s">
        <v>16</v>
      </c>
      <c r="F43">
        <v>1543</v>
      </c>
      <c r="G43">
        <v>820</v>
      </c>
      <c r="H43">
        <v>333</v>
      </c>
      <c r="I43">
        <v>12344</v>
      </c>
      <c r="J43">
        <v>11496</v>
      </c>
      <c r="K43">
        <v>241</v>
      </c>
      <c r="L43" t="s">
        <v>31</v>
      </c>
      <c r="M43" t="s">
        <v>32</v>
      </c>
      <c r="N43">
        <v>21.84</v>
      </c>
      <c r="O43" s="1">
        <v>45570</v>
      </c>
      <c r="P43" s="1">
        <v>45601</v>
      </c>
      <c r="Q43" t="s">
        <v>417</v>
      </c>
    </row>
    <row r="44" spans="1:17">
      <c r="A44" t="s">
        <v>80</v>
      </c>
      <c r="B44" t="s">
        <v>27</v>
      </c>
      <c r="C44" s="1">
        <v>45640</v>
      </c>
      <c r="D44" t="s">
        <v>35</v>
      </c>
      <c r="E44" t="s">
        <v>36</v>
      </c>
      <c r="F44">
        <v>2174</v>
      </c>
      <c r="G44">
        <v>658</v>
      </c>
      <c r="H44">
        <v>15</v>
      </c>
      <c r="I44">
        <v>13044</v>
      </c>
      <c r="J44">
        <v>12206</v>
      </c>
      <c r="K44">
        <v>137</v>
      </c>
      <c r="L44" t="s">
        <v>360</v>
      </c>
      <c r="M44" t="s">
        <v>44</v>
      </c>
      <c r="N44">
        <v>21.83</v>
      </c>
      <c r="O44" s="1">
        <v>45667</v>
      </c>
      <c r="P44" s="1">
        <v>45698</v>
      </c>
      <c r="Q44" t="s">
        <v>419</v>
      </c>
    </row>
    <row r="45" spans="1:17">
      <c r="A45" t="s">
        <v>81</v>
      </c>
      <c r="B45" t="s">
        <v>14</v>
      </c>
      <c r="C45" s="1">
        <v>45718</v>
      </c>
      <c r="D45" t="s">
        <v>40</v>
      </c>
      <c r="E45" t="s">
        <v>41</v>
      </c>
      <c r="F45">
        <v>2358</v>
      </c>
      <c r="G45">
        <v>784</v>
      </c>
      <c r="H45">
        <v>344</v>
      </c>
      <c r="I45">
        <v>35370</v>
      </c>
      <c r="J45">
        <v>34475</v>
      </c>
      <c r="K45">
        <v>216</v>
      </c>
      <c r="L45" t="s">
        <v>363</v>
      </c>
      <c r="M45" t="s">
        <v>18</v>
      </c>
      <c r="N45">
        <v>9.86</v>
      </c>
      <c r="O45" s="1">
        <v>45505</v>
      </c>
      <c r="P45" s="1">
        <v>45535</v>
      </c>
      <c r="Q45" t="s">
        <v>417</v>
      </c>
    </row>
    <row r="46" spans="1:17">
      <c r="A46" t="s">
        <v>82</v>
      </c>
      <c r="B46" t="s">
        <v>34</v>
      </c>
      <c r="C46" s="1">
        <v>45597</v>
      </c>
      <c r="D46" t="s">
        <v>50</v>
      </c>
      <c r="E46" t="s">
        <v>51</v>
      </c>
      <c r="F46">
        <v>3371</v>
      </c>
      <c r="G46">
        <v>106</v>
      </c>
      <c r="H46">
        <v>327</v>
      </c>
      <c r="I46">
        <v>50565</v>
      </c>
      <c r="J46">
        <v>49816</v>
      </c>
      <c r="K46">
        <v>176</v>
      </c>
      <c r="L46" t="s">
        <v>52</v>
      </c>
      <c r="M46" t="s">
        <v>44</v>
      </c>
      <c r="N46">
        <v>7.52</v>
      </c>
      <c r="O46" s="1">
        <v>45667</v>
      </c>
      <c r="P46" s="1">
        <v>45698</v>
      </c>
      <c r="Q46" t="s">
        <v>419</v>
      </c>
    </row>
    <row r="47" spans="1:17">
      <c r="A47" t="s">
        <v>83</v>
      </c>
      <c r="B47" t="s">
        <v>14</v>
      </c>
      <c r="C47" s="1">
        <v>45779</v>
      </c>
      <c r="D47" t="s">
        <v>50</v>
      </c>
      <c r="E47" t="s">
        <v>51</v>
      </c>
      <c r="F47">
        <v>1108</v>
      </c>
      <c r="G47">
        <v>177</v>
      </c>
      <c r="H47">
        <v>212</v>
      </c>
      <c r="I47">
        <v>8864</v>
      </c>
      <c r="J47">
        <v>8710</v>
      </c>
      <c r="K47">
        <v>97</v>
      </c>
      <c r="L47" t="s">
        <v>22</v>
      </c>
      <c r="M47" t="s">
        <v>44</v>
      </c>
      <c r="N47">
        <v>16.89</v>
      </c>
      <c r="O47" s="1">
        <v>45667</v>
      </c>
      <c r="P47" s="1">
        <v>45698</v>
      </c>
      <c r="Q47" t="s">
        <v>417</v>
      </c>
    </row>
    <row r="48" spans="1:17">
      <c r="A48" t="s">
        <v>84</v>
      </c>
      <c r="B48" t="s">
        <v>14</v>
      </c>
      <c r="C48" s="1">
        <v>45712</v>
      </c>
      <c r="D48" t="s">
        <v>35</v>
      </c>
      <c r="E48" t="s">
        <v>36</v>
      </c>
      <c r="F48">
        <v>2704</v>
      </c>
      <c r="G48">
        <v>752</v>
      </c>
      <c r="H48">
        <v>153</v>
      </c>
      <c r="I48">
        <v>21632</v>
      </c>
      <c r="J48">
        <v>20792</v>
      </c>
      <c r="K48">
        <v>127</v>
      </c>
      <c r="L48" t="s">
        <v>369</v>
      </c>
      <c r="M48" t="s">
        <v>18</v>
      </c>
      <c r="N48">
        <v>16.68</v>
      </c>
      <c r="O48" s="1">
        <v>45505</v>
      </c>
      <c r="P48" s="1">
        <v>45535</v>
      </c>
      <c r="Q48" t="s">
        <v>417</v>
      </c>
    </row>
    <row r="49" spans="1:17">
      <c r="A49" t="s">
        <v>85</v>
      </c>
      <c r="B49" t="s">
        <v>14</v>
      </c>
      <c r="C49" s="1">
        <v>45727</v>
      </c>
      <c r="D49" t="s">
        <v>28</v>
      </c>
      <c r="E49" t="s">
        <v>29</v>
      </c>
      <c r="F49">
        <v>1950</v>
      </c>
      <c r="G49">
        <v>295</v>
      </c>
      <c r="H49">
        <v>478</v>
      </c>
      <c r="I49">
        <v>37050</v>
      </c>
      <c r="J49">
        <v>36272</v>
      </c>
      <c r="K49">
        <v>119</v>
      </c>
      <c r="L49" t="s">
        <v>370</v>
      </c>
      <c r="M49" t="s">
        <v>44</v>
      </c>
      <c r="N49">
        <v>7.35</v>
      </c>
      <c r="O49" s="1">
        <v>45667</v>
      </c>
      <c r="P49" s="1">
        <v>45698</v>
      </c>
      <c r="Q49" t="s">
        <v>417</v>
      </c>
    </row>
    <row r="50" spans="1:17">
      <c r="A50" t="s">
        <v>86</v>
      </c>
      <c r="B50" t="s">
        <v>14</v>
      </c>
      <c r="C50" s="1">
        <v>45453</v>
      </c>
      <c r="D50" t="s">
        <v>28</v>
      </c>
      <c r="E50" t="s">
        <v>29</v>
      </c>
      <c r="F50">
        <v>2164</v>
      </c>
      <c r="G50">
        <v>549</v>
      </c>
      <c r="H50">
        <v>274</v>
      </c>
      <c r="I50">
        <v>28132</v>
      </c>
      <c r="J50">
        <v>27361</v>
      </c>
      <c r="K50">
        <v>177</v>
      </c>
      <c r="L50" t="s">
        <v>31</v>
      </c>
      <c r="M50" t="s">
        <v>18</v>
      </c>
      <c r="N50">
        <v>10.62</v>
      </c>
      <c r="O50" s="1">
        <v>45505</v>
      </c>
      <c r="P50" s="1">
        <v>45535</v>
      </c>
      <c r="Q50" t="s">
        <v>419</v>
      </c>
    </row>
    <row r="51" spans="1:17">
      <c r="A51" t="s">
        <v>87</v>
      </c>
      <c r="B51" t="s">
        <v>25</v>
      </c>
      <c r="C51" s="1">
        <v>45476</v>
      </c>
      <c r="D51" t="s">
        <v>28</v>
      </c>
      <c r="E51" t="s">
        <v>29</v>
      </c>
      <c r="F51">
        <v>2754</v>
      </c>
      <c r="G51">
        <v>130</v>
      </c>
      <c r="H51">
        <v>90</v>
      </c>
      <c r="I51">
        <v>22032</v>
      </c>
      <c r="J51">
        <v>21288</v>
      </c>
      <c r="K51">
        <v>112</v>
      </c>
      <c r="L51" t="s">
        <v>22</v>
      </c>
      <c r="M51" t="s">
        <v>18</v>
      </c>
      <c r="N51">
        <v>13.5</v>
      </c>
      <c r="O51" s="1">
        <v>45505</v>
      </c>
      <c r="P51" s="1">
        <v>45535</v>
      </c>
      <c r="Q51" t="s">
        <v>419</v>
      </c>
    </row>
    <row r="52" spans="1:17">
      <c r="A52" t="s">
        <v>88</v>
      </c>
      <c r="B52" t="s">
        <v>34</v>
      </c>
      <c r="C52" s="1">
        <v>45456</v>
      </c>
      <c r="D52" t="s">
        <v>35</v>
      </c>
      <c r="E52" t="s">
        <v>36</v>
      </c>
      <c r="F52">
        <v>2200</v>
      </c>
      <c r="G52">
        <v>504</v>
      </c>
      <c r="H52">
        <v>239</v>
      </c>
      <c r="I52">
        <v>37400</v>
      </c>
      <c r="J52">
        <v>36938</v>
      </c>
      <c r="K52">
        <v>225</v>
      </c>
      <c r="L52" t="s">
        <v>17</v>
      </c>
      <c r="M52" t="s">
        <v>32</v>
      </c>
      <c r="N52">
        <v>7.87</v>
      </c>
      <c r="O52" s="1">
        <v>45570</v>
      </c>
      <c r="P52" s="1">
        <v>45601</v>
      </c>
      <c r="Q52" t="s">
        <v>419</v>
      </c>
    </row>
    <row r="53" spans="1:17">
      <c r="A53" t="s">
        <v>89</v>
      </c>
      <c r="B53" t="s">
        <v>34</v>
      </c>
      <c r="C53" s="1">
        <v>45660</v>
      </c>
      <c r="D53" t="s">
        <v>40</v>
      </c>
      <c r="E53" t="s">
        <v>41</v>
      </c>
      <c r="F53">
        <v>947</v>
      </c>
      <c r="G53">
        <v>338</v>
      </c>
      <c r="H53">
        <v>350</v>
      </c>
      <c r="I53">
        <v>10417</v>
      </c>
      <c r="J53">
        <v>9730</v>
      </c>
      <c r="K53">
        <v>34</v>
      </c>
      <c r="L53" t="s">
        <v>357</v>
      </c>
      <c r="M53" t="s">
        <v>32</v>
      </c>
      <c r="N53">
        <v>15.7</v>
      </c>
      <c r="O53" s="1">
        <v>45570</v>
      </c>
      <c r="P53" s="1">
        <v>45601</v>
      </c>
      <c r="Q53" t="s">
        <v>417</v>
      </c>
    </row>
    <row r="54" spans="1:17">
      <c r="A54" t="s">
        <v>90</v>
      </c>
      <c r="B54" t="s">
        <v>25</v>
      </c>
      <c r="C54" s="1">
        <v>45712</v>
      </c>
      <c r="D54" t="s">
        <v>35</v>
      </c>
      <c r="E54" t="s">
        <v>36</v>
      </c>
      <c r="F54">
        <v>804</v>
      </c>
      <c r="G54">
        <v>639</v>
      </c>
      <c r="H54">
        <v>43</v>
      </c>
      <c r="I54">
        <v>4020</v>
      </c>
      <c r="J54">
        <v>3144</v>
      </c>
      <c r="K54">
        <v>11</v>
      </c>
      <c r="L54" t="s">
        <v>364</v>
      </c>
      <c r="M54" t="s">
        <v>44</v>
      </c>
      <c r="N54">
        <v>36.97</v>
      </c>
      <c r="O54" s="1">
        <v>45667</v>
      </c>
      <c r="P54" s="1">
        <v>45698</v>
      </c>
      <c r="Q54" t="s">
        <v>417</v>
      </c>
    </row>
    <row r="55" spans="1:17">
      <c r="A55" t="s">
        <v>91</v>
      </c>
      <c r="B55" t="s">
        <v>25</v>
      </c>
      <c r="C55" s="1">
        <v>45729</v>
      </c>
      <c r="D55" t="s">
        <v>35</v>
      </c>
      <c r="E55" t="s">
        <v>36</v>
      </c>
      <c r="F55">
        <v>1686</v>
      </c>
      <c r="G55">
        <v>904</v>
      </c>
      <c r="H55">
        <v>472</v>
      </c>
      <c r="I55">
        <v>18546</v>
      </c>
      <c r="J55">
        <v>18171</v>
      </c>
      <c r="K55">
        <v>52</v>
      </c>
      <c r="L55" t="s">
        <v>361</v>
      </c>
      <c r="M55" t="s">
        <v>23</v>
      </c>
      <c r="N55">
        <v>16.510000000000002</v>
      </c>
      <c r="O55" s="1">
        <v>45453</v>
      </c>
      <c r="P55" s="1">
        <v>45478</v>
      </c>
      <c r="Q55" t="s">
        <v>417</v>
      </c>
    </row>
    <row r="56" spans="1:17">
      <c r="A56" t="s">
        <v>92</v>
      </c>
      <c r="B56" t="s">
        <v>34</v>
      </c>
      <c r="C56" s="1">
        <v>45460</v>
      </c>
      <c r="D56" t="s">
        <v>40</v>
      </c>
      <c r="E56" t="s">
        <v>41</v>
      </c>
      <c r="F56">
        <v>1226</v>
      </c>
      <c r="G56">
        <v>119</v>
      </c>
      <c r="H56">
        <v>7</v>
      </c>
      <c r="I56">
        <v>14712</v>
      </c>
      <c r="J56">
        <v>14049</v>
      </c>
      <c r="K56">
        <v>123</v>
      </c>
      <c r="L56" t="s">
        <v>365</v>
      </c>
      <c r="M56" t="s">
        <v>44</v>
      </c>
      <c r="N56">
        <v>9.19</v>
      </c>
      <c r="O56" s="1">
        <v>45667</v>
      </c>
      <c r="P56" s="1">
        <v>45698</v>
      </c>
    </row>
    <row r="57" spans="1:17">
      <c r="A57" t="s">
        <v>93</v>
      </c>
      <c r="B57" t="s">
        <v>34</v>
      </c>
      <c r="C57" s="1">
        <v>45644</v>
      </c>
      <c r="D57" t="s">
        <v>35</v>
      </c>
      <c r="E57" t="s">
        <v>36</v>
      </c>
      <c r="F57">
        <v>2946</v>
      </c>
      <c r="G57">
        <v>498</v>
      </c>
      <c r="H57">
        <v>367</v>
      </c>
      <c r="I57">
        <v>29460</v>
      </c>
      <c r="J57">
        <v>28527</v>
      </c>
      <c r="K57">
        <v>60</v>
      </c>
      <c r="L57" t="s">
        <v>371</v>
      </c>
      <c r="M57" t="s">
        <v>23</v>
      </c>
      <c r="N57">
        <v>12.94</v>
      </c>
      <c r="O57" s="1">
        <v>45453</v>
      </c>
      <c r="P57" s="1">
        <v>45478</v>
      </c>
      <c r="Q57" t="s">
        <v>417</v>
      </c>
    </row>
    <row r="58" spans="1:17">
      <c r="A58" t="s">
        <v>94</v>
      </c>
      <c r="B58" t="s">
        <v>14</v>
      </c>
      <c r="C58" s="1">
        <v>45586</v>
      </c>
      <c r="D58" t="s">
        <v>50</v>
      </c>
      <c r="E58" t="s">
        <v>51</v>
      </c>
      <c r="F58">
        <v>2825</v>
      </c>
      <c r="G58">
        <v>535</v>
      </c>
      <c r="H58">
        <v>295</v>
      </c>
      <c r="I58">
        <v>45200</v>
      </c>
      <c r="J58">
        <v>44739</v>
      </c>
      <c r="K58">
        <v>169</v>
      </c>
      <c r="L58" t="s">
        <v>31</v>
      </c>
      <c r="M58" t="s">
        <v>23</v>
      </c>
      <c r="N58">
        <v>8.09</v>
      </c>
      <c r="O58" s="1">
        <v>45453</v>
      </c>
      <c r="P58" s="1">
        <v>45478</v>
      </c>
      <c r="Q58" t="s">
        <v>417</v>
      </c>
    </row>
    <row r="59" spans="1:17">
      <c r="A59" t="s">
        <v>95</v>
      </c>
      <c r="B59" t="s">
        <v>27</v>
      </c>
      <c r="C59" s="1">
        <v>45762</v>
      </c>
      <c r="D59" t="s">
        <v>15</v>
      </c>
      <c r="E59" t="s">
        <v>16</v>
      </c>
      <c r="F59">
        <v>103</v>
      </c>
      <c r="G59">
        <v>770</v>
      </c>
      <c r="H59">
        <v>19</v>
      </c>
      <c r="I59">
        <v>1030</v>
      </c>
      <c r="J59">
        <v>410</v>
      </c>
      <c r="K59">
        <v>262</v>
      </c>
      <c r="L59" t="s">
        <v>17</v>
      </c>
      <c r="M59" t="s">
        <v>32</v>
      </c>
      <c r="N59">
        <v>86.6</v>
      </c>
      <c r="O59" s="1">
        <v>45570</v>
      </c>
      <c r="P59" s="1">
        <v>45601</v>
      </c>
      <c r="Q59" t="s">
        <v>417</v>
      </c>
    </row>
    <row r="60" spans="1:17">
      <c r="A60" t="s">
        <v>96</v>
      </c>
      <c r="B60" t="s">
        <v>27</v>
      </c>
      <c r="C60" s="1">
        <v>45465</v>
      </c>
      <c r="D60" t="s">
        <v>20</v>
      </c>
      <c r="E60" t="s">
        <v>21</v>
      </c>
      <c r="F60">
        <v>2180</v>
      </c>
      <c r="G60">
        <v>263</v>
      </c>
      <c r="H60">
        <v>387</v>
      </c>
      <c r="I60">
        <v>30520</v>
      </c>
      <c r="J60">
        <v>30059</v>
      </c>
      <c r="K60">
        <v>174</v>
      </c>
      <c r="L60" t="s">
        <v>52</v>
      </c>
      <c r="M60" t="s">
        <v>18</v>
      </c>
      <c r="N60">
        <v>9.27</v>
      </c>
      <c r="O60" s="1">
        <v>45505</v>
      </c>
      <c r="P60" s="1">
        <v>45535</v>
      </c>
      <c r="Q60" t="s">
        <v>419</v>
      </c>
    </row>
    <row r="61" spans="1:17">
      <c r="A61" t="s">
        <v>97</v>
      </c>
      <c r="B61" t="s">
        <v>27</v>
      </c>
      <c r="C61" s="1">
        <v>45685</v>
      </c>
      <c r="D61" t="s">
        <v>50</v>
      </c>
      <c r="E61" t="s">
        <v>51</v>
      </c>
      <c r="F61">
        <v>904</v>
      </c>
      <c r="G61">
        <v>973</v>
      </c>
      <c r="H61">
        <v>63</v>
      </c>
      <c r="I61">
        <v>11752</v>
      </c>
      <c r="J61">
        <v>11580</v>
      </c>
      <c r="K61">
        <v>84</v>
      </c>
      <c r="L61" t="s">
        <v>31</v>
      </c>
      <c r="M61" t="s">
        <v>18</v>
      </c>
      <c r="N61">
        <v>16.510000000000002</v>
      </c>
      <c r="O61" s="1">
        <v>45505</v>
      </c>
      <c r="P61" s="1">
        <v>45535</v>
      </c>
      <c r="Q61" t="s">
        <v>417</v>
      </c>
    </row>
    <row r="62" spans="1:17">
      <c r="A62" t="s">
        <v>98</v>
      </c>
      <c r="B62" t="s">
        <v>14</v>
      </c>
      <c r="C62" s="1">
        <v>45540</v>
      </c>
      <c r="D62" t="s">
        <v>50</v>
      </c>
      <c r="E62" t="s">
        <v>51</v>
      </c>
      <c r="F62">
        <v>4886</v>
      </c>
      <c r="G62">
        <v>983</v>
      </c>
      <c r="H62">
        <v>409</v>
      </c>
      <c r="I62">
        <v>43974</v>
      </c>
      <c r="J62">
        <v>43239</v>
      </c>
      <c r="K62">
        <v>65</v>
      </c>
      <c r="L62" t="s">
        <v>22</v>
      </c>
      <c r="M62" t="s">
        <v>18</v>
      </c>
      <c r="N62">
        <v>14.28</v>
      </c>
      <c r="O62" s="1">
        <v>45505</v>
      </c>
      <c r="P62" s="1">
        <v>45535</v>
      </c>
      <c r="Q62" t="s">
        <v>417</v>
      </c>
    </row>
    <row r="63" spans="1:17">
      <c r="A63" t="s">
        <v>99</v>
      </c>
      <c r="B63" t="s">
        <v>14</v>
      </c>
      <c r="C63" s="1">
        <v>45618</v>
      </c>
      <c r="D63" t="s">
        <v>35</v>
      </c>
      <c r="E63" t="s">
        <v>36</v>
      </c>
      <c r="F63">
        <v>53</v>
      </c>
      <c r="G63">
        <v>81</v>
      </c>
      <c r="H63">
        <v>379</v>
      </c>
      <c r="I63">
        <v>954</v>
      </c>
      <c r="J63">
        <v>7</v>
      </c>
      <c r="K63">
        <v>148</v>
      </c>
      <c r="L63" t="s">
        <v>52</v>
      </c>
      <c r="M63" t="s">
        <v>32</v>
      </c>
      <c r="N63">
        <v>53.77</v>
      </c>
      <c r="O63" s="1">
        <v>45570</v>
      </c>
      <c r="P63" s="1">
        <v>45601</v>
      </c>
      <c r="Q63" t="s">
        <v>417</v>
      </c>
    </row>
    <row r="64" spans="1:17">
      <c r="A64" t="s">
        <v>100</v>
      </c>
      <c r="B64" t="s">
        <v>14</v>
      </c>
      <c r="C64" s="1">
        <v>45504</v>
      </c>
      <c r="D64" t="s">
        <v>35</v>
      </c>
      <c r="E64" t="s">
        <v>36</v>
      </c>
      <c r="F64">
        <v>4507</v>
      </c>
      <c r="G64">
        <v>217</v>
      </c>
      <c r="H64">
        <v>13</v>
      </c>
      <c r="I64">
        <v>90140</v>
      </c>
      <c r="J64">
        <v>89591</v>
      </c>
      <c r="K64">
        <v>125</v>
      </c>
      <c r="L64" t="s">
        <v>17</v>
      </c>
      <c r="M64" t="s">
        <v>18</v>
      </c>
      <c r="N64">
        <v>5.26</v>
      </c>
      <c r="O64" s="1">
        <v>45505</v>
      </c>
      <c r="P64" s="1">
        <v>45535</v>
      </c>
      <c r="Q64" t="s">
        <v>419</v>
      </c>
    </row>
    <row r="65" spans="1:17">
      <c r="A65" t="s">
        <v>101</v>
      </c>
      <c r="B65" t="s">
        <v>34</v>
      </c>
      <c r="C65" s="1">
        <v>45521</v>
      </c>
      <c r="D65" t="s">
        <v>40</v>
      </c>
      <c r="E65" t="s">
        <v>41</v>
      </c>
      <c r="F65">
        <v>2878</v>
      </c>
      <c r="G65">
        <v>248</v>
      </c>
      <c r="H65">
        <v>416</v>
      </c>
      <c r="I65">
        <v>43170</v>
      </c>
      <c r="J65">
        <v>42667</v>
      </c>
      <c r="K65">
        <v>75</v>
      </c>
      <c r="L65" t="s">
        <v>372</v>
      </c>
      <c r="M65" t="s">
        <v>23</v>
      </c>
      <c r="N65">
        <v>8.1999999999999993</v>
      </c>
      <c r="O65" s="1">
        <v>45453</v>
      </c>
      <c r="P65" s="1">
        <v>45478</v>
      </c>
      <c r="Q65" t="s">
        <v>417</v>
      </c>
    </row>
    <row r="66" spans="1:17">
      <c r="A66" t="s">
        <v>102</v>
      </c>
      <c r="B66" t="s">
        <v>27</v>
      </c>
      <c r="C66" s="1">
        <v>45744</v>
      </c>
      <c r="D66" t="s">
        <v>28</v>
      </c>
      <c r="E66" t="s">
        <v>29</v>
      </c>
      <c r="F66">
        <v>1881</v>
      </c>
      <c r="G66">
        <v>501</v>
      </c>
      <c r="H66">
        <v>99</v>
      </c>
      <c r="I66">
        <v>20691</v>
      </c>
      <c r="J66">
        <v>19987</v>
      </c>
      <c r="K66">
        <v>289</v>
      </c>
      <c r="L66" t="s">
        <v>52</v>
      </c>
      <c r="M66" t="s">
        <v>23</v>
      </c>
      <c r="N66">
        <v>11.99</v>
      </c>
      <c r="O66" s="1">
        <v>45453</v>
      </c>
      <c r="P66" s="1">
        <v>45478</v>
      </c>
      <c r="Q66" t="s">
        <v>417</v>
      </c>
    </row>
    <row r="67" spans="1:17">
      <c r="A67" t="s">
        <v>103</v>
      </c>
      <c r="B67" t="s">
        <v>14</v>
      </c>
      <c r="C67" s="1">
        <v>45499</v>
      </c>
      <c r="D67" t="s">
        <v>35</v>
      </c>
      <c r="E67" t="s">
        <v>36</v>
      </c>
      <c r="F67">
        <v>432</v>
      </c>
      <c r="G67">
        <v>171</v>
      </c>
      <c r="H67">
        <v>280</v>
      </c>
      <c r="I67">
        <v>3024</v>
      </c>
      <c r="J67">
        <v>2285</v>
      </c>
      <c r="K67">
        <v>184</v>
      </c>
      <c r="L67" t="s">
        <v>22</v>
      </c>
      <c r="M67" t="s">
        <v>32</v>
      </c>
      <c r="N67">
        <v>29.2</v>
      </c>
      <c r="O67" s="1">
        <v>45570</v>
      </c>
      <c r="P67" s="1">
        <v>45601</v>
      </c>
      <c r="Q67" t="s">
        <v>419</v>
      </c>
    </row>
    <row r="68" spans="1:17">
      <c r="A68" t="s">
        <v>104</v>
      </c>
      <c r="B68" t="s">
        <v>34</v>
      </c>
      <c r="C68" s="1">
        <v>45745</v>
      </c>
      <c r="D68" t="s">
        <v>35</v>
      </c>
      <c r="E68" t="s">
        <v>36</v>
      </c>
      <c r="F68">
        <v>4712</v>
      </c>
      <c r="G68">
        <v>568</v>
      </c>
      <c r="H68">
        <v>127</v>
      </c>
      <c r="I68">
        <v>84816</v>
      </c>
      <c r="J68">
        <v>84691</v>
      </c>
      <c r="K68">
        <v>100</v>
      </c>
      <c r="L68" t="s">
        <v>52</v>
      </c>
      <c r="M68" t="s">
        <v>18</v>
      </c>
      <c r="N68">
        <v>6.37</v>
      </c>
      <c r="O68" s="1">
        <v>45505</v>
      </c>
      <c r="P68" s="1">
        <v>45535</v>
      </c>
      <c r="Q68" t="s">
        <v>417</v>
      </c>
    </row>
    <row r="69" spans="1:17">
      <c r="A69" t="s">
        <v>105</v>
      </c>
      <c r="B69" t="s">
        <v>27</v>
      </c>
      <c r="C69" s="1">
        <v>45634</v>
      </c>
      <c r="D69" t="s">
        <v>28</v>
      </c>
      <c r="E69" t="s">
        <v>29</v>
      </c>
      <c r="F69">
        <v>2610</v>
      </c>
      <c r="G69">
        <v>126</v>
      </c>
      <c r="H69">
        <v>288</v>
      </c>
      <c r="I69">
        <v>15660</v>
      </c>
      <c r="J69">
        <v>15145</v>
      </c>
      <c r="K69">
        <v>73</v>
      </c>
      <c r="L69" t="s">
        <v>22</v>
      </c>
      <c r="M69" t="s">
        <v>18</v>
      </c>
      <c r="N69">
        <v>19.309999999999999</v>
      </c>
      <c r="O69" s="1">
        <v>45505</v>
      </c>
      <c r="P69" s="1">
        <v>45535</v>
      </c>
      <c r="Q69" t="s">
        <v>417</v>
      </c>
    </row>
    <row r="70" spans="1:17">
      <c r="A70" t="s">
        <v>106</v>
      </c>
      <c r="B70" t="s">
        <v>14</v>
      </c>
      <c r="C70" s="1">
        <v>45724</v>
      </c>
      <c r="D70" t="s">
        <v>20</v>
      </c>
      <c r="E70" t="s">
        <v>21</v>
      </c>
      <c r="F70">
        <v>1292</v>
      </c>
      <c r="G70">
        <v>626</v>
      </c>
      <c r="H70">
        <v>496</v>
      </c>
      <c r="I70">
        <v>25840</v>
      </c>
      <c r="J70">
        <v>24916</v>
      </c>
      <c r="K70">
        <v>149</v>
      </c>
      <c r="L70" t="s">
        <v>364</v>
      </c>
      <c r="M70" t="s">
        <v>44</v>
      </c>
      <c r="N70">
        <v>9.34</v>
      </c>
      <c r="O70" s="1">
        <v>45667</v>
      </c>
      <c r="P70" s="1">
        <v>45698</v>
      </c>
      <c r="Q70" t="s">
        <v>417</v>
      </c>
    </row>
    <row r="71" spans="1:17">
      <c r="A71" t="s">
        <v>107</v>
      </c>
      <c r="B71" t="s">
        <v>34</v>
      </c>
      <c r="C71" s="1">
        <v>45749</v>
      </c>
      <c r="D71" t="s">
        <v>50</v>
      </c>
      <c r="E71" t="s">
        <v>51</v>
      </c>
      <c r="F71">
        <v>199</v>
      </c>
      <c r="G71">
        <v>772</v>
      </c>
      <c r="H71">
        <v>400</v>
      </c>
      <c r="I71">
        <v>3582</v>
      </c>
      <c r="J71">
        <v>2988</v>
      </c>
      <c r="K71">
        <v>43</v>
      </c>
      <c r="L71" t="s">
        <v>37</v>
      </c>
      <c r="M71" t="s">
        <v>18</v>
      </c>
      <c r="N71">
        <v>38.270000000000003</v>
      </c>
      <c r="O71" s="1">
        <v>45505</v>
      </c>
      <c r="P71" s="1">
        <v>45535</v>
      </c>
      <c r="Q71" t="s">
        <v>417</v>
      </c>
    </row>
    <row r="72" spans="1:17">
      <c r="A72" t="s">
        <v>108</v>
      </c>
      <c r="B72" t="s">
        <v>25</v>
      </c>
      <c r="C72" s="1">
        <v>45537</v>
      </c>
      <c r="D72" t="s">
        <v>35</v>
      </c>
      <c r="E72" t="s">
        <v>36</v>
      </c>
      <c r="F72">
        <v>2551</v>
      </c>
      <c r="G72">
        <v>915</v>
      </c>
      <c r="H72">
        <v>205</v>
      </c>
      <c r="I72">
        <v>30612</v>
      </c>
      <c r="J72">
        <v>30360</v>
      </c>
      <c r="K72">
        <v>227</v>
      </c>
      <c r="L72" t="s">
        <v>362</v>
      </c>
      <c r="M72" t="s">
        <v>23</v>
      </c>
      <c r="N72">
        <v>11.99</v>
      </c>
      <c r="O72" s="1">
        <v>45453</v>
      </c>
      <c r="P72" s="1">
        <v>45478</v>
      </c>
      <c r="Q72" t="s">
        <v>417</v>
      </c>
    </row>
    <row r="73" spans="1:17">
      <c r="A73" t="s">
        <v>109</v>
      </c>
      <c r="B73" t="s">
        <v>25</v>
      </c>
      <c r="C73" s="1">
        <v>45719</v>
      </c>
      <c r="D73" t="s">
        <v>15</v>
      </c>
      <c r="E73" t="s">
        <v>16</v>
      </c>
      <c r="F73">
        <v>296</v>
      </c>
      <c r="G73">
        <v>60</v>
      </c>
      <c r="H73">
        <v>141</v>
      </c>
      <c r="I73">
        <v>5624</v>
      </c>
      <c r="J73">
        <v>5239</v>
      </c>
      <c r="K73">
        <v>88</v>
      </c>
      <c r="L73" t="s">
        <v>37</v>
      </c>
      <c r="M73" t="s">
        <v>44</v>
      </c>
      <c r="N73">
        <v>8.84</v>
      </c>
      <c r="O73" s="1">
        <v>45667</v>
      </c>
      <c r="P73" s="1">
        <v>45698</v>
      </c>
      <c r="Q73" t="s">
        <v>417</v>
      </c>
    </row>
    <row r="74" spans="1:17">
      <c r="A74" t="s">
        <v>110</v>
      </c>
      <c r="B74" t="s">
        <v>34</v>
      </c>
      <c r="C74" s="1">
        <v>45583</v>
      </c>
      <c r="D74" t="s">
        <v>28</v>
      </c>
      <c r="E74" t="s">
        <v>29</v>
      </c>
      <c r="F74">
        <v>4126</v>
      </c>
      <c r="G74">
        <v>426</v>
      </c>
      <c r="H74">
        <v>486</v>
      </c>
      <c r="I74">
        <v>78394</v>
      </c>
      <c r="J74">
        <v>77798</v>
      </c>
      <c r="K74">
        <v>88</v>
      </c>
      <c r="L74" t="s">
        <v>22</v>
      </c>
      <c r="M74" t="s">
        <v>18</v>
      </c>
      <c r="N74">
        <v>6.43</v>
      </c>
      <c r="O74" s="1">
        <v>45505</v>
      </c>
      <c r="P74" s="1">
        <v>45535</v>
      </c>
      <c r="Q74" t="s">
        <v>417</v>
      </c>
    </row>
    <row r="75" spans="1:17">
      <c r="A75" t="s">
        <v>111</v>
      </c>
      <c r="B75" t="s">
        <v>25</v>
      </c>
      <c r="C75" s="1">
        <v>45593</v>
      </c>
      <c r="D75" t="s">
        <v>15</v>
      </c>
      <c r="E75" t="s">
        <v>16</v>
      </c>
      <c r="F75">
        <v>1855</v>
      </c>
      <c r="G75">
        <v>200</v>
      </c>
      <c r="H75">
        <v>174</v>
      </c>
      <c r="I75">
        <v>16695</v>
      </c>
      <c r="J75">
        <v>16330</v>
      </c>
      <c r="K75">
        <v>123</v>
      </c>
      <c r="L75" t="s">
        <v>22</v>
      </c>
      <c r="M75" t="s">
        <v>32</v>
      </c>
      <c r="N75">
        <v>13.35</v>
      </c>
      <c r="O75" s="1">
        <v>45570</v>
      </c>
      <c r="P75" s="1">
        <v>45601</v>
      </c>
      <c r="Q75" t="s">
        <v>418</v>
      </c>
    </row>
    <row r="76" spans="1:17">
      <c r="A76" t="s">
        <v>112</v>
      </c>
      <c r="B76" t="s">
        <v>27</v>
      </c>
      <c r="C76" s="1">
        <v>45505</v>
      </c>
      <c r="D76" t="s">
        <v>15</v>
      </c>
      <c r="E76" t="s">
        <v>16</v>
      </c>
      <c r="F76">
        <v>1674</v>
      </c>
      <c r="G76">
        <v>929</v>
      </c>
      <c r="H76">
        <v>37</v>
      </c>
      <c r="I76">
        <v>21762</v>
      </c>
      <c r="J76">
        <v>20998</v>
      </c>
      <c r="K76">
        <v>255</v>
      </c>
      <c r="L76" t="s">
        <v>371</v>
      </c>
      <c r="M76" t="s">
        <v>32</v>
      </c>
      <c r="N76">
        <v>12.13</v>
      </c>
      <c r="O76" s="1">
        <v>45570</v>
      </c>
      <c r="P76" s="1">
        <v>45601</v>
      </c>
      <c r="Q76" t="s">
        <v>419</v>
      </c>
    </row>
    <row r="77" spans="1:17">
      <c r="A77" t="s">
        <v>113</v>
      </c>
      <c r="B77" t="s">
        <v>14</v>
      </c>
      <c r="C77" s="1">
        <v>45603</v>
      </c>
      <c r="D77" t="s">
        <v>28</v>
      </c>
      <c r="E77" t="s">
        <v>29</v>
      </c>
      <c r="F77">
        <v>1121</v>
      </c>
      <c r="G77">
        <v>135</v>
      </c>
      <c r="H77">
        <v>18</v>
      </c>
      <c r="I77">
        <v>15694</v>
      </c>
      <c r="J77">
        <v>14957</v>
      </c>
      <c r="K77">
        <v>99</v>
      </c>
      <c r="L77" t="s">
        <v>360</v>
      </c>
      <c r="M77" t="s">
        <v>44</v>
      </c>
      <c r="N77">
        <v>8.1199999999999992</v>
      </c>
      <c r="O77" s="1">
        <v>45667</v>
      </c>
      <c r="P77" s="1">
        <v>45698</v>
      </c>
      <c r="Q77" t="s">
        <v>419</v>
      </c>
    </row>
    <row r="78" spans="1:17">
      <c r="A78" t="s">
        <v>114</v>
      </c>
      <c r="B78" t="s">
        <v>34</v>
      </c>
      <c r="C78" s="1">
        <v>45720</v>
      </c>
      <c r="D78" t="s">
        <v>28</v>
      </c>
      <c r="E78" t="s">
        <v>29</v>
      </c>
      <c r="F78">
        <v>1249</v>
      </c>
      <c r="G78">
        <v>116</v>
      </c>
      <c r="H78">
        <v>420</v>
      </c>
      <c r="I78">
        <v>8743</v>
      </c>
      <c r="J78">
        <v>8538</v>
      </c>
      <c r="K78">
        <v>63</v>
      </c>
      <c r="L78" t="s">
        <v>361</v>
      </c>
      <c r="M78" t="s">
        <v>32</v>
      </c>
      <c r="N78">
        <v>20.420000000000002</v>
      </c>
      <c r="O78" s="1">
        <v>45570</v>
      </c>
      <c r="P78" s="1">
        <v>45601</v>
      </c>
      <c r="Q78" t="s">
        <v>417</v>
      </c>
    </row>
    <row r="79" spans="1:17">
      <c r="A79" t="s">
        <v>115</v>
      </c>
      <c r="B79" t="s">
        <v>14</v>
      </c>
      <c r="C79" s="1">
        <v>45460</v>
      </c>
      <c r="D79" t="s">
        <v>40</v>
      </c>
      <c r="E79" t="s">
        <v>41</v>
      </c>
      <c r="F79">
        <v>954</v>
      </c>
      <c r="G79">
        <v>324</v>
      </c>
      <c r="H79">
        <v>288</v>
      </c>
      <c r="I79">
        <v>19080</v>
      </c>
      <c r="J79">
        <v>18859</v>
      </c>
      <c r="K79">
        <v>21</v>
      </c>
      <c r="L79" t="s">
        <v>37</v>
      </c>
      <c r="M79" t="s">
        <v>32</v>
      </c>
      <c r="N79">
        <v>8.2100000000000009</v>
      </c>
      <c r="O79" s="1">
        <v>45570</v>
      </c>
      <c r="P79" s="1">
        <v>45601</v>
      </c>
      <c r="Q79" t="s">
        <v>419</v>
      </c>
    </row>
    <row r="80" spans="1:17">
      <c r="A80" t="s">
        <v>116</v>
      </c>
      <c r="B80" t="s">
        <v>27</v>
      </c>
      <c r="C80" s="1">
        <v>45574</v>
      </c>
      <c r="D80" t="s">
        <v>35</v>
      </c>
      <c r="E80" t="s">
        <v>36</v>
      </c>
      <c r="F80">
        <v>3068</v>
      </c>
      <c r="G80">
        <v>137</v>
      </c>
      <c r="H80">
        <v>329</v>
      </c>
      <c r="I80">
        <v>39884</v>
      </c>
      <c r="J80">
        <v>39404</v>
      </c>
      <c r="K80">
        <v>266</v>
      </c>
      <c r="L80" t="s">
        <v>365</v>
      </c>
      <c r="M80" t="s">
        <v>32</v>
      </c>
      <c r="N80">
        <v>8.86</v>
      </c>
      <c r="O80" s="1">
        <v>45570</v>
      </c>
      <c r="P80" s="1">
        <v>45601</v>
      </c>
      <c r="Q80" t="s">
        <v>418</v>
      </c>
    </row>
    <row r="81" spans="1:17">
      <c r="A81" t="s">
        <v>117</v>
      </c>
      <c r="B81" t="s">
        <v>27</v>
      </c>
      <c r="C81" s="1">
        <v>45456</v>
      </c>
      <c r="D81" t="s">
        <v>28</v>
      </c>
      <c r="E81" t="s">
        <v>29</v>
      </c>
      <c r="F81">
        <v>2103</v>
      </c>
      <c r="G81">
        <v>892</v>
      </c>
      <c r="H81">
        <v>103</v>
      </c>
      <c r="I81">
        <v>39957</v>
      </c>
      <c r="J81">
        <v>39466</v>
      </c>
      <c r="K81">
        <v>28</v>
      </c>
      <c r="L81" t="s">
        <v>369</v>
      </c>
      <c r="M81" t="s">
        <v>23</v>
      </c>
      <c r="N81">
        <v>7.75</v>
      </c>
      <c r="O81" s="1">
        <v>45453</v>
      </c>
      <c r="P81" s="1">
        <v>45478</v>
      </c>
      <c r="Q81" t="s">
        <v>418</v>
      </c>
    </row>
    <row r="82" spans="1:17">
      <c r="A82" t="s">
        <v>118</v>
      </c>
      <c r="B82" t="s">
        <v>27</v>
      </c>
      <c r="C82" s="1">
        <v>45584</v>
      </c>
      <c r="D82" t="s">
        <v>28</v>
      </c>
      <c r="E82" t="s">
        <v>29</v>
      </c>
      <c r="F82">
        <v>1816</v>
      </c>
      <c r="G82">
        <v>29</v>
      </c>
      <c r="H82">
        <v>41</v>
      </c>
      <c r="I82">
        <v>19976</v>
      </c>
      <c r="J82">
        <v>19262</v>
      </c>
      <c r="K82">
        <v>283</v>
      </c>
      <c r="L82" t="s">
        <v>373</v>
      </c>
      <c r="M82" t="s">
        <v>32</v>
      </c>
      <c r="N82">
        <v>9.44</v>
      </c>
      <c r="O82" s="1">
        <v>45570</v>
      </c>
      <c r="P82" s="1">
        <v>45601</v>
      </c>
      <c r="Q82" t="s">
        <v>418</v>
      </c>
    </row>
    <row r="83" spans="1:17">
      <c r="A83" t="s">
        <v>119</v>
      </c>
      <c r="B83" t="s">
        <v>27</v>
      </c>
      <c r="C83" s="1">
        <v>45497</v>
      </c>
      <c r="D83" t="s">
        <v>40</v>
      </c>
      <c r="E83" t="s">
        <v>41</v>
      </c>
      <c r="F83">
        <v>725</v>
      </c>
      <c r="G83">
        <v>88</v>
      </c>
      <c r="H83">
        <v>428</v>
      </c>
      <c r="I83">
        <v>14500</v>
      </c>
      <c r="J83">
        <v>13637</v>
      </c>
      <c r="K83">
        <v>200</v>
      </c>
      <c r="L83" t="s">
        <v>37</v>
      </c>
      <c r="M83" t="s">
        <v>32</v>
      </c>
      <c r="N83">
        <v>8.56</v>
      </c>
      <c r="O83" s="1">
        <v>45570</v>
      </c>
      <c r="P83" s="1">
        <v>45601</v>
      </c>
      <c r="Q83" t="s">
        <v>419</v>
      </c>
    </row>
    <row r="84" spans="1:17">
      <c r="A84" t="s">
        <v>120</v>
      </c>
      <c r="B84" t="s">
        <v>25</v>
      </c>
      <c r="C84" s="1">
        <v>45580</v>
      </c>
      <c r="D84" t="s">
        <v>50</v>
      </c>
      <c r="E84" t="s">
        <v>51</v>
      </c>
      <c r="F84">
        <v>1094</v>
      </c>
      <c r="G84">
        <v>472</v>
      </c>
      <c r="H84">
        <v>21</v>
      </c>
      <c r="I84">
        <v>9846</v>
      </c>
      <c r="J84">
        <v>9609</v>
      </c>
      <c r="K84">
        <v>112</v>
      </c>
      <c r="L84" t="s">
        <v>374</v>
      </c>
      <c r="M84" t="s">
        <v>32</v>
      </c>
      <c r="N84">
        <v>16.12</v>
      </c>
      <c r="O84" s="1">
        <v>45570</v>
      </c>
      <c r="P84" s="1">
        <v>45601</v>
      </c>
      <c r="Q84" t="s">
        <v>418</v>
      </c>
    </row>
    <row r="85" spans="1:17">
      <c r="A85" t="s">
        <v>121</v>
      </c>
      <c r="B85" t="s">
        <v>34</v>
      </c>
      <c r="C85" s="1">
        <v>45635</v>
      </c>
      <c r="D85" t="s">
        <v>40</v>
      </c>
      <c r="E85" t="s">
        <v>41</v>
      </c>
      <c r="F85">
        <v>1841</v>
      </c>
      <c r="G85">
        <v>851</v>
      </c>
      <c r="H85">
        <v>342</v>
      </c>
      <c r="I85">
        <v>34979</v>
      </c>
      <c r="J85">
        <v>34154</v>
      </c>
      <c r="K85">
        <v>255</v>
      </c>
      <c r="L85" t="s">
        <v>361</v>
      </c>
      <c r="M85" t="s">
        <v>18</v>
      </c>
      <c r="N85">
        <v>8.67</v>
      </c>
      <c r="O85" s="1">
        <v>45505</v>
      </c>
      <c r="P85" s="1">
        <v>45535</v>
      </c>
      <c r="Q85" t="s">
        <v>417</v>
      </c>
    </row>
    <row r="86" spans="1:17">
      <c r="A86" t="s">
        <v>122</v>
      </c>
      <c r="B86" t="s">
        <v>27</v>
      </c>
      <c r="C86" s="1">
        <v>45766</v>
      </c>
      <c r="D86" t="s">
        <v>40</v>
      </c>
      <c r="E86" t="s">
        <v>41</v>
      </c>
      <c r="F86">
        <v>4177</v>
      </c>
      <c r="G86">
        <v>569</v>
      </c>
      <c r="H86">
        <v>55</v>
      </c>
      <c r="I86">
        <v>25062</v>
      </c>
      <c r="J86">
        <v>24847</v>
      </c>
      <c r="K86">
        <v>230</v>
      </c>
      <c r="L86" t="s">
        <v>22</v>
      </c>
      <c r="M86" t="s">
        <v>18</v>
      </c>
      <c r="N86">
        <v>19.16</v>
      </c>
      <c r="O86" s="1">
        <v>45505</v>
      </c>
      <c r="P86" s="1">
        <v>45535</v>
      </c>
      <c r="Q86" t="s">
        <v>417</v>
      </c>
    </row>
    <row r="87" spans="1:17">
      <c r="A87" t="s">
        <v>123</v>
      </c>
      <c r="B87" t="s">
        <v>25</v>
      </c>
      <c r="C87" s="1">
        <v>45684</v>
      </c>
      <c r="D87" t="s">
        <v>20</v>
      </c>
      <c r="E87" t="s">
        <v>21</v>
      </c>
      <c r="F87">
        <v>3428</v>
      </c>
      <c r="G87">
        <v>305</v>
      </c>
      <c r="H87">
        <v>85</v>
      </c>
      <c r="I87">
        <v>58276</v>
      </c>
      <c r="J87">
        <v>58052</v>
      </c>
      <c r="K87">
        <v>242</v>
      </c>
      <c r="L87" t="s">
        <v>374</v>
      </c>
      <c r="M87" t="s">
        <v>32</v>
      </c>
      <c r="N87">
        <v>6.55</v>
      </c>
      <c r="O87" s="1">
        <v>45570</v>
      </c>
      <c r="P87" s="1">
        <v>45601</v>
      </c>
      <c r="Q87" t="s">
        <v>417</v>
      </c>
    </row>
    <row r="88" spans="1:17">
      <c r="A88" t="s">
        <v>124</v>
      </c>
      <c r="B88" t="s">
        <v>14</v>
      </c>
      <c r="C88" s="1">
        <v>45449</v>
      </c>
      <c r="D88" t="s">
        <v>50</v>
      </c>
      <c r="E88" t="s">
        <v>51</v>
      </c>
      <c r="F88">
        <v>1436</v>
      </c>
      <c r="G88">
        <v>765</v>
      </c>
      <c r="H88">
        <v>496</v>
      </c>
      <c r="I88">
        <v>12924</v>
      </c>
      <c r="J88">
        <v>12701</v>
      </c>
      <c r="K88">
        <v>197</v>
      </c>
      <c r="L88" t="s">
        <v>373</v>
      </c>
      <c r="M88" t="s">
        <v>23</v>
      </c>
      <c r="N88">
        <v>20.87</v>
      </c>
      <c r="O88" s="1">
        <v>45453</v>
      </c>
      <c r="P88" s="1">
        <v>45478</v>
      </c>
      <c r="Q88" t="s">
        <v>419</v>
      </c>
    </row>
    <row r="89" spans="1:17">
      <c r="A89" t="s">
        <v>125</v>
      </c>
      <c r="B89" t="s">
        <v>34</v>
      </c>
      <c r="C89" s="1">
        <v>45480</v>
      </c>
      <c r="D89" t="s">
        <v>28</v>
      </c>
      <c r="E89" t="s">
        <v>29</v>
      </c>
      <c r="F89">
        <v>302</v>
      </c>
      <c r="G89">
        <v>47</v>
      </c>
      <c r="H89">
        <v>430</v>
      </c>
      <c r="I89">
        <v>5738</v>
      </c>
      <c r="J89">
        <v>4890</v>
      </c>
      <c r="K89">
        <v>25</v>
      </c>
      <c r="L89" t="s">
        <v>357</v>
      </c>
      <c r="M89" t="s">
        <v>23</v>
      </c>
      <c r="N89">
        <v>13.58</v>
      </c>
      <c r="O89" s="1">
        <v>45453</v>
      </c>
      <c r="P89" s="1">
        <v>45478</v>
      </c>
      <c r="Q89" t="s">
        <v>417</v>
      </c>
    </row>
    <row r="90" spans="1:17">
      <c r="A90" t="s">
        <v>126</v>
      </c>
      <c r="B90" t="s">
        <v>14</v>
      </c>
      <c r="C90" s="1">
        <v>45667</v>
      </c>
      <c r="D90" t="s">
        <v>40</v>
      </c>
      <c r="E90" t="s">
        <v>41</v>
      </c>
      <c r="F90">
        <v>2214</v>
      </c>
      <c r="G90">
        <v>249</v>
      </c>
      <c r="H90">
        <v>152</v>
      </c>
      <c r="I90">
        <v>15498</v>
      </c>
      <c r="J90">
        <v>14800</v>
      </c>
      <c r="K90">
        <v>180</v>
      </c>
      <c r="L90" t="s">
        <v>17</v>
      </c>
      <c r="M90" t="s">
        <v>23</v>
      </c>
      <c r="N90">
        <v>16.87</v>
      </c>
      <c r="O90" s="1">
        <v>45453</v>
      </c>
      <c r="P90" s="1">
        <v>45478</v>
      </c>
      <c r="Q90" t="s">
        <v>417</v>
      </c>
    </row>
    <row r="91" spans="1:17">
      <c r="A91" t="s">
        <v>127</v>
      </c>
      <c r="B91" t="s">
        <v>27</v>
      </c>
      <c r="C91" s="1">
        <v>45446</v>
      </c>
      <c r="D91" t="s">
        <v>40</v>
      </c>
      <c r="E91" t="s">
        <v>41</v>
      </c>
      <c r="F91">
        <v>3861</v>
      </c>
      <c r="G91">
        <v>960</v>
      </c>
      <c r="H91">
        <v>101</v>
      </c>
      <c r="I91">
        <v>69498</v>
      </c>
      <c r="J91">
        <v>68817</v>
      </c>
      <c r="K91">
        <v>297</v>
      </c>
      <c r="L91" t="s">
        <v>22</v>
      </c>
      <c r="M91" t="s">
        <v>23</v>
      </c>
      <c r="N91">
        <v>7.08</v>
      </c>
      <c r="O91" s="1">
        <v>45453</v>
      </c>
      <c r="P91" s="1">
        <v>45478</v>
      </c>
      <c r="Q91" t="s">
        <v>419</v>
      </c>
    </row>
    <row r="92" spans="1:17">
      <c r="A92" t="s">
        <v>128</v>
      </c>
      <c r="B92" t="s">
        <v>34</v>
      </c>
      <c r="C92" s="1">
        <v>45740</v>
      </c>
      <c r="D92" t="s">
        <v>40</v>
      </c>
      <c r="E92" t="s">
        <v>41</v>
      </c>
      <c r="F92">
        <v>1263</v>
      </c>
      <c r="G92">
        <v>397</v>
      </c>
      <c r="H92">
        <v>357</v>
      </c>
      <c r="I92">
        <v>25260</v>
      </c>
      <c r="J92">
        <v>24615</v>
      </c>
      <c r="K92">
        <v>137</v>
      </c>
      <c r="L92" t="s">
        <v>17</v>
      </c>
      <c r="M92" t="s">
        <v>23</v>
      </c>
      <c r="N92">
        <v>7.98</v>
      </c>
      <c r="O92" s="1">
        <v>45453</v>
      </c>
      <c r="P92" s="1">
        <v>45478</v>
      </c>
      <c r="Q92" t="s">
        <v>417</v>
      </c>
    </row>
    <row r="93" spans="1:17">
      <c r="A93" t="s">
        <v>129</v>
      </c>
      <c r="B93" t="s">
        <v>14</v>
      </c>
      <c r="C93" s="1">
        <v>45586</v>
      </c>
      <c r="D93" t="s">
        <v>28</v>
      </c>
      <c r="E93" t="s">
        <v>29</v>
      </c>
      <c r="F93">
        <v>3801</v>
      </c>
      <c r="G93">
        <v>967</v>
      </c>
      <c r="H93">
        <v>401</v>
      </c>
      <c r="I93">
        <v>38010</v>
      </c>
      <c r="J93">
        <v>37625</v>
      </c>
      <c r="K93">
        <v>236</v>
      </c>
      <c r="L93" t="s">
        <v>31</v>
      </c>
      <c r="M93" t="s">
        <v>44</v>
      </c>
      <c r="N93">
        <v>13.6</v>
      </c>
      <c r="O93" s="1">
        <v>45667</v>
      </c>
      <c r="P93" s="1">
        <v>45698</v>
      </c>
      <c r="Q93" t="s">
        <v>419</v>
      </c>
    </row>
    <row r="94" spans="1:17">
      <c r="A94" t="s">
        <v>130</v>
      </c>
      <c r="B94" t="s">
        <v>27</v>
      </c>
      <c r="C94" s="1">
        <v>45637</v>
      </c>
      <c r="D94" t="s">
        <v>50</v>
      </c>
      <c r="E94" t="s">
        <v>51</v>
      </c>
      <c r="F94">
        <v>1431</v>
      </c>
      <c r="G94">
        <v>951</v>
      </c>
      <c r="H94">
        <v>26</v>
      </c>
      <c r="I94">
        <v>8586</v>
      </c>
      <c r="J94">
        <v>8396</v>
      </c>
      <c r="K94">
        <v>150</v>
      </c>
      <c r="L94" t="s">
        <v>367</v>
      </c>
      <c r="M94" t="s">
        <v>18</v>
      </c>
      <c r="N94">
        <v>28.05</v>
      </c>
      <c r="O94" s="1">
        <v>45505</v>
      </c>
      <c r="P94" s="1">
        <v>45535</v>
      </c>
      <c r="Q94" t="s">
        <v>417</v>
      </c>
    </row>
    <row r="95" spans="1:17">
      <c r="A95" t="s">
        <v>131</v>
      </c>
      <c r="B95" t="s">
        <v>27</v>
      </c>
      <c r="C95" s="1">
        <v>45603</v>
      </c>
      <c r="D95" t="s">
        <v>40</v>
      </c>
      <c r="E95" t="s">
        <v>41</v>
      </c>
      <c r="F95">
        <v>2647</v>
      </c>
      <c r="G95">
        <v>304</v>
      </c>
      <c r="H95">
        <v>170</v>
      </c>
      <c r="I95">
        <v>18529</v>
      </c>
      <c r="J95">
        <v>17841</v>
      </c>
      <c r="K95">
        <v>46</v>
      </c>
      <c r="L95" t="s">
        <v>31</v>
      </c>
      <c r="M95" t="s">
        <v>23</v>
      </c>
      <c r="N95">
        <v>16.84</v>
      </c>
      <c r="O95" s="1">
        <v>45453</v>
      </c>
      <c r="P95" s="1">
        <v>45478</v>
      </c>
      <c r="Q95" t="s">
        <v>417</v>
      </c>
    </row>
    <row r="96" spans="1:17">
      <c r="A96" t="s">
        <v>132</v>
      </c>
      <c r="B96" t="s">
        <v>27</v>
      </c>
      <c r="C96" s="1">
        <v>45604</v>
      </c>
      <c r="D96" t="s">
        <v>20</v>
      </c>
      <c r="E96" t="s">
        <v>21</v>
      </c>
      <c r="F96">
        <v>3182</v>
      </c>
      <c r="G96">
        <v>559</v>
      </c>
      <c r="H96">
        <v>160</v>
      </c>
      <c r="I96">
        <v>57276</v>
      </c>
      <c r="J96">
        <v>56890</v>
      </c>
      <c r="K96">
        <v>163</v>
      </c>
      <c r="L96" t="s">
        <v>364</v>
      </c>
      <c r="M96" t="s">
        <v>23</v>
      </c>
      <c r="N96">
        <v>6.81</v>
      </c>
      <c r="O96" s="1">
        <v>45453</v>
      </c>
      <c r="P96" s="1">
        <v>45478</v>
      </c>
      <c r="Q96" t="s">
        <v>417</v>
      </c>
    </row>
    <row r="97" spans="1:17">
      <c r="A97" t="s">
        <v>133</v>
      </c>
      <c r="B97" t="s">
        <v>14</v>
      </c>
      <c r="C97" s="1">
        <v>45545</v>
      </c>
      <c r="D97" t="s">
        <v>40</v>
      </c>
      <c r="E97" t="s">
        <v>41</v>
      </c>
      <c r="F97">
        <v>1238</v>
      </c>
      <c r="G97">
        <v>366</v>
      </c>
      <c r="H97">
        <v>444</v>
      </c>
      <c r="I97">
        <v>19808</v>
      </c>
      <c r="J97">
        <v>19334</v>
      </c>
      <c r="K97">
        <v>123</v>
      </c>
      <c r="L97" t="s">
        <v>52</v>
      </c>
      <c r="M97" t="s">
        <v>32</v>
      </c>
      <c r="N97">
        <v>10.34</v>
      </c>
      <c r="O97" s="1">
        <v>45570</v>
      </c>
      <c r="P97" s="1">
        <v>45601</v>
      </c>
      <c r="Q97" t="s">
        <v>419</v>
      </c>
    </row>
    <row r="98" spans="1:17">
      <c r="A98" t="s">
        <v>134</v>
      </c>
      <c r="B98" t="s">
        <v>27</v>
      </c>
      <c r="C98" s="1">
        <v>45517</v>
      </c>
      <c r="D98" t="s">
        <v>40</v>
      </c>
      <c r="E98" t="s">
        <v>41</v>
      </c>
      <c r="F98">
        <v>4739</v>
      </c>
      <c r="G98">
        <v>527</v>
      </c>
      <c r="H98">
        <v>135</v>
      </c>
      <c r="I98">
        <v>61607</v>
      </c>
      <c r="J98">
        <v>61333</v>
      </c>
      <c r="K98">
        <v>36</v>
      </c>
      <c r="L98" t="s">
        <v>359</v>
      </c>
      <c r="M98" t="s">
        <v>23</v>
      </c>
      <c r="N98">
        <v>8.77</v>
      </c>
      <c r="O98" s="1">
        <v>45453</v>
      </c>
      <c r="P98" s="1">
        <v>45478</v>
      </c>
      <c r="Q98" t="s">
        <v>417</v>
      </c>
    </row>
    <row r="99" spans="1:17">
      <c r="A99" t="s">
        <v>135</v>
      </c>
      <c r="B99" t="s">
        <v>14</v>
      </c>
      <c r="C99" s="1">
        <v>45453</v>
      </c>
      <c r="D99" t="s">
        <v>28</v>
      </c>
      <c r="E99" t="s">
        <v>29</v>
      </c>
      <c r="F99">
        <v>1575</v>
      </c>
      <c r="G99">
        <v>771</v>
      </c>
      <c r="H99">
        <v>486</v>
      </c>
      <c r="I99">
        <v>25200</v>
      </c>
      <c r="J99">
        <v>24826</v>
      </c>
      <c r="K99">
        <v>17</v>
      </c>
      <c r="L99" t="s">
        <v>31</v>
      </c>
      <c r="M99" t="s">
        <v>32</v>
      </c>
      <c r="N99">
        <v>11.24</v>
      </c>
      <c r="O99" s="1">
        <v>45570</v>
      </c>
      <c r="P99" s="1">
        <v>45601</v>
      </c>
      <c r="Q99" t="s">
        <v>419</v>
      </c>
    </row>
    <row r="100" spans="1:17">
      <c r="A100" t="s">
        <v>136</v>
      </c>
      <c r="B100" t="s">
        <v>25</v>
      </c>
      <c r="C100" s="1">
        <v>45475</v>
      </c>
      <c r="D100" t="s">
        <v>35</v>
      </c>
      <c r="E100" t="s">
        <v>36</v>
      </c>
      <c r="F100">
        <v>4171</v>
      </c>
      <c r="G100">
        <v>548</v>
      </c>
      <c r="H100">
        <v>86</v>
      </c>
      <c r="I100">
        <v>66736</v>
      </c>
      <c r="J100">
        <v>66634</v>
      </c>
      <c r="K100">
        <v>173</v>
      </c>
      <c r="L100" t="s">
        <v>31</v>
      </c>
      <c r="M100" t="s">
        <v>32</v>
      </c>
      <c r="N100">
        <v>7.2</v>
      </c>
      <c r="O100" s="1">
        <v>45570</v>
      </c>
      <c r="P100" s="1">
        <v>45601</v>
      </c>
      <c r="Q100" t="s">
        <v>419</v>
      </c>
    </row>
    <row r="101" spans="1:17">
      <c r="A101" t="s">
        <v>137</v>
      </c>
      <c r="B101" t="s">
        <v>25</v>
      </c>
      <c r="C101" s="1">
        <v>45698</v>
      </c>
      <c r="D101" t="s">
        <v>50</v>
      </c>
      <c r="E101" t="s">
        <v>51</v>
      </c>
      <c r="F101">
        <v>1766</v>
      </c>
      <c r="G101">
        <v>92</v>
      </c>
      <c r="H101">
        <v>424</v>
      </c>
      <c r="I101">
        <v>24724</v>
      </c>
      <c r="J101">
        <v>24333</v>
      </c>
      <c r="K101">
        <v>52</v>
      </c>
      <c r="L101" t="s">
        <v>31</v>
      </c>
      <c r="M101" t="s">
        <v>18</v>
      </c>
      <c r="N101">
        <v>9.23</v>
      </c>
      <c r="O101" s="1">
        <v>45505</v>
      </c>
      <c r="P101" s="1">
        <v>45535</v>
      </c>
      <c r="Q101" t="s">
        <v>417</v>
      </c>
    </row>
    <row r="102" spans="1:17">
      <c r="A102" t="s">
        <v>138</v>
      </c>
      <c r="B102" t="s">
        <v>25</v>
      </c>
      <c r="C102" s="1">
        <v>45583</v>
      </c>
      <c r="D102" t="s">
        <v>50</v>
      </c>
      <c r="E102" t="s">
        <v>51</v>
      </c>
      <c r="F102">
        <v>4450</v>
      </c>
      <c r="G102">
        <v>983</v>
      </c>
      <c r="H102">
        <v>143</v>
      </c>
      <c r="I102">
        <v>75650</v>
      </c>
      <c r="J102">
        <v>75008</v>
      </c>
      <c r="K102">
        <v>12</v>
      </c>
      <c r="L102" t="s">
        <v>363</v>
      </c>
      <c r="M102" t="s">
        <v>23</v>
      </c>
      <c r="N102">
        <v>7.37</v>
      </c>
      <c r="O102" s="1">
        <v>45453</v>
      </c>
      <c r="P102" s="1">
        <v>45478</v>
      </c>
      <c r="Q102" t="s">
        <v>417</v>
      </c>
    </row>
    <row r="103" spans="1:17">
      <c r="A103" t="s">
        <v>139</v>
      </c>
      <c r="B103" t="s">
        <v>14</v>
      </c>
      <c r="C103" s="1">
        <v>45553</v>
      </c>
      <c r="D103" t="s">
        <v>15</v>
      </c>
      <c r="E103" t="s">
        <v>16</v>
      </c>
      <c r="F103">
        <v>1000</v>
      </c>
      <c r="G103">
        <v>978</v>
      </c>
      <c r="H103">
        <v>162</v>
      </c>
      <c r="I103">
        <v>6000</v>
      </c>
      <c r="J103">
        <v>5221</v>
      </c>
      <c r="K103">
        <v>223</v>
      </c>
      <c r="L103" t="s">
        <v>366</v>
      </c>
      <c r="M103" t="s">
        <v>32</v>
      </c>
      <c r="N103">
        <v>35.67</v>
      </c>
      <c r="O103" s="1">
        <v>45570</v>
      </c>
      <c r="P103" s="1">
        <v>45601</v>
      </c>
      <c r="Q103" t="s">
        <v>419</v>
      </c>
    </row>
    <row r="104" spans="1:17">
      <c r="A104" t="s">
        <v>140</v>
      </c>
      <c r="B104" t="s">
        <v>34</v>
      </c>
      <c r="C104" s="1">
        <v>45454</v>
      </c>
      <c r="D104" t="s">
        <v>40</v>
      </c>
      <c r="E104" t="s">
        <v>41</v>
      </c>
      <c r="F104">
        <v>3689</v>
      </c>
      <c r="G104">
        <v>48</v>
      </c>
      <c r="H104">
        <v>306</v>
      </c>
      <c r="I104">
        <v>40579</v>
      </c>
      <c r="J104">
        <v>39588</v>
      </c>
      <c r="K104">
        <v>212</v>
      </c>
      <c r="L104" t="s">
        <v>37</v>
      </c>
      <c r="M104" t="s">
        <v>18</v>
      </c>
      <c r="N104">
        <v>9.9600000000000009</v>
      </c>
      <c r="O104" s="1">
        <v>45505</v>
      </c>
      <c r="P104" s="1">
        <v>45535</v>
      </c>
      <c r="Q104" t="s">
        <v>419</v>
      </c>
    </row>
    <row r="105" spans="1:17">
      <c r="A105" t="s">
        <v>141</v>
      </c>
      <c r="B105" t="s">
        <v>25</v>
      </c>
      <c r="C105" s="1">
        <v>45739</v>
      </c>
      <c r="D105" t="s">
        <v>28</v>
      </c>
      <c r="E105" t="s">
        <v>29</v>
      </c>
      <c r="F105">
        <v>3655</v>
      </c>
      <c r="G105">
        <v>568</v>
      </c>
      <c r="H105">
        <v>286</v>
      </c>
      <c r="I105">
        <v>32895</v>
      </c>
      <c r="J105">
        <v>32015</v>
      </c>
      <c r="K105">
        <v>199</v>
      </c>
      <c r="L105" t="s">
        <v>37</v>
      </c>
      <c r="M105" t="s">
        <v>44</v>
      </c>
      <c r="N105">
        <v>13.71</v>
      </c>
      <c r="O105" s="1">
        <v>45667</v>
      </c>
      <c r="P105" s="1">
        <v>45698</v>
      </c>
      <c r="Q105" t="s">
        <v>417</v>
      </c>
    </row>
    <row r="106" spans="1:17">
      <c r="A106" t="s">
        <v>142</v>
      </c>
      <c r="B106" t="s">
        <v>27</v>
      </c>
      <c r="C106" s="1">
        <v>45457</v>
      </c>
      <c r="D106" t="s">
        <v>35</v>
      </c>
      <c r="E106" t="s">
        <v>36</v>
      </c>
      <c r="F106">
        <v>498</v>
      </c>
      <c r="G106">
        <v>38</v>
      </c>
      <c r="H106">
        <v>42</v>
      </c>
      <c r="I106">
        <v>4482</v>
      </c>
      <c r="J106">
        <v>3647</v>
      </c>
      <c r="K106">
        <v>32</v>
      </c>
      <c r="L106" t="s">
        <v>371</v>
      </c>
      <c r="M106" t="s">
        <v>44</v>
      </c>
      <c r="N106">
        <v>12.9</v>
      </c>
      <c r="O106" s="1">
        <v>45667</v>
      </c>
      <c r="P106" s="1">
        <v>45698</v>
      </c>
      <c r="Q106" t="s">
        <v>419</v>
      </c>
    </row>
    <row r="107" spans="1:17">
      <c r="A107" t="s">
        <v>143</v>
      </c>
      <c r="B107" t="s">
        <v>27</v>
      </c>
      <c r="C107" s="1">
        <v>45692</v>
      </c>
      <c r="D107" t="s">
        <v>40</v>
      </c>
      <c r="E107" t="s">
        <v>41</v>
      </c>
      <c r="F107">
        <v>4619</v>
      </c>
      <c r="G107">
        <v>821</v>
      </c>
      <c r="H107">
        <v>499</v>
      </c>
      <c r="I107">
        <v>69285</v>
      </c>
      <c r="J107">
        <v>69141</v>
      </c>
      <c r="K107">
        <v>298</v>
      </c>
      <c r="L107" t="s">
        <v>22</v>
      </c>
      <c r="M107" t="s">
        <v>18</v>
      </c>
      <c r="N107">
        <v>8.57</v>
      </c>
      <c r="O107" s="1">
        <v>45505</v>
      </c>
      <c r="P107" s="1">
        <v>45535</v>
      </c>
      <c r="Q107" t="s">
        <v>417</v>
      </c>
    </row>
    <row r="108" spans="1:17">
      <c r="A108" t="s">
        <v>144</v>
      </c>
      <c r="B108" t="s">
        <v>25</v>
      </c>
      <c r="C108" s="1">
        <v>45464</v>
      </c>
      <c r="D108" t="s">
        <v>40</v>
      </c>
      <c r="E108" t="s">
        <v>41</v>
      </c>
      <c r="F108">
        <v>4832</v>
      </c>
      <c r="G108">
        <v>893</v>
      </c>
      <c r="H108">
        <v>10</v>
      </c>
      <c r="I108">
        <v>91808</v>
      </c>
      <c r="J108">
        <v>91296</v>
      </c>
      <c r="K108">
        <v>182</v>
      </c>
      <c r="L108" t="s">
        <v>363</v>
      </c>
      <c r="M108" t="s">
        <v>32</v>
      </c>
      <c r="N108">
        <v>6.25</v>
      </c>
      <c r="O108" s="1">
        <v>45570</v>
      </c>
      <c r="P108" s="1">
        <v>45601</v>
      </c>
      <c r="Q108" t="s">
        <v>419</v>
      </c>
    </row>
    <row r="109" spans="1:17">
      <c r="A109" t="s">
        <v>145</v>
      </c>
      <c r="B109" t="s">
        <v>14</v>
      </c>
      <c r="C109" s="1">
        <v>45741</v>
      </c>
      <c r="D109" t="s">
        <v>50</v>
      </c>
      <c r="E109" t="s">
        <v>51</v>
      </c>
      <c r="F109">
        <v>4050</v>
      </c>
      <c r="G109">
        <v>871</v>
      </c>
      <c r="H109">
        <v>347</v>
      </c>
      <c r="I109">
        <v>52650</v>
      </c>
      <c r="J109">
        <v>51755</v>
      </c>
      <c r="K109">
        <v>209</v>
      </c>
      <c r="L109" t="s">
        <v>371</v>
      </c>
      <c r="M109" t="s">
        <v>18</v>
      </c>
      <c r="N109">
        <v>10.01</v>
      </c>
      <c r="O109" s="1">
        <v>45505</v>
      </c>
      <c r="P109" s="1">
        <v>45535</v>
      </c>
      <c r="Q109" t="s">
        <v>417</v>
      </c>
    </row>
    <row r="110" spans="1:17">
      <c r="A110" t="s">
        <v>146</v>
      </c>
      <c r="B110" t="s">
        <v>14</v>
      </c>
      <c r="C110" s="1">
        <v>45512</v>
      </c>
      <c r="D110" t="s">
        <v>28</v>
      </c>
      <c r="E110" t="s">
        <v>29</v>
      </c>
      <c r="F110">
        <v>3649</v>
      </c>
      <c r="G110">
        <v>215</v>
      </c>
      <c r="H110">
        <v>413</v>
      </c>
      <c r="I110">
        <v>25543</v>
      </c>
      <c r="J110">
        <v>24963</v>
      </c>
      <c r="K110">
        <v>167</v>
      </c>
      <c r="L110" t="s">
        <v>370</v>
      </c>
      <c r="M110" t="s">
        <v>18</v>
      </c>
      <c r="N110">
        <v>16.739999999999998</v>
      </c>
      <c r="O110" s="1">
        <v>45505</v>
      </c>
      <c r="P110" s="1">
        <v>45535</v>
      </c>
      <c r="Q110" t="s">
        <v>418</v>
      </c>
    </row>
    <row r="111" spans="1:17">
      <c r="A111" t="s">
        <v>147</v>
      </c>
      <c r="B111" t="s">
        <v>27</v>
      </c>
      <c r="C111" s="1">
        <v>45502</v>
      </c>
      <c r="D111" t="s">
        <v>15</v>
      </c>
      <c r="E111" t="s">
        <v>16</v>
      </c>
      <c r="F111">
        <v>3523</v>
      </c>
      <c r="G111">
        <v>753</v>
      </c>
      <c r="H111">
        <v>482</v>
      </c>
      <c r="I111">
        <v>38753</v>
      </c>
      <c r="J111">
        <v>38579</v>
      </c>
      <c r="K111">
        <v>270</v>
      </c>
      <c r="L111" t="s">
        <v>375</v>
      </c>
      <c r="M111" t="s">
        <v>23</v>
      </c>
      <c r="N111">
        <v>12.28</v>
      </c>
      <c r="O111" s="1">
        <v>45453</v>
      </c>
      <c r="P111" s="1">
        <v>45478</v>
      </c>
      <c r="Q111" t="s">
        <v>417</v>
      </c>
    </row>
    <row r="112" spans="1:17">
      <c r="A112" t="s">
        <v>148</v>
      </c>
      <c r="B112" t="s">
        <v>25</v>
      </c>
      <c r="C112" s="1">
        <v>45619</v>
      </c>
      <c r="D112" t="s">
        <v>40</v>
      </c>
      <c r="E112" t="s">
        <v>41</v>
      </c>
      <c r="F112">
        <v>2719</v>
      </c>
      <c r="G112">
        <v>17</v>
      </c>
      <c r="H112">
        <v>285</v>
      </c>
      <c r="I112">
        <v>40785</v>
      </c>
      <c r="J112">
        <v>40281</v>
      </c>
      <c r="K112">
        <v>40</v>
      </c>
      <c r="L112" t="s">
        <v>370</v>
      </c>
      <c r="M112" t="s">
        <v>32</v>
      </c>
      <c r="N112">
        <v>7.41</v>
      </c>
      <c r="O112" s="1">
        <v>45570</v>
      </c>
      <c r="P112" s="1">
        <v>45601</v>
      </c>
      <c r="Q112" t="s">
        <v>417</v>
      </c>
    </row>
    <row r="113" spans="1:17">
      <c r="A113" t="s">
        <v>149</v>
      </c>
      <c r="B113" t="s">
        <v>14</v>
      </c>
      <c r="C113" s="1">
        <v>45570</v>
      </c>
      <c r="D113" t="s">
        <v>28</v>
      </c>
      <c r="E113" t="s">
        <v>29</v>
      </c>
      <c r="F113">
        <v>1957</v>
      </c>
      <c r="G113">
        <v>877</v>
      </c>
      <c r="H113">
        <v>238</v>
      </c>
      <c r="I113">
        <v>17613</v>
      </c>
      <c r="J113">
        <v>16865</v>
      </c>
      <c r="K113">
        <v>297</v>
      </c>
      <c r="L113" t="s">
        <v>357</v>
      </c>
      <c r="M113" t="s">
        <v>32</v>
      </c>
      <c r="N113">
        <v>17.440000000000001</v>
      </c>
      <c r="O113" s="1">
        <v>45570</v>
      </c>
      <c r="P113" s="1">
        <v>45601</v>
      </c>
      <c r="Q113" t="s">
        <v>418</v>
      </c>
    </row>
    <row r="114" spans="1:17">
      <c r="A114" t="s">
        <v>150</v>
      </c>
      <c r="B114" t="s">
        <v>14</v>
      </c>
      <c r="C114" s="1">
        <v>45567</v>
      </c>
      <c r="D114" t="s">
        <v>35</v>
      </c>
      <c r="E114" t="s">
        <v>36</v>
      </c>
      <c r="F114">
        <v>4419</v>
      </c>
      <c r="G114">
        <v>236</v>
      </c>
      <c r="H114">
        <v>369</v>
      </c>
      <c r="I114">
        <v>44190</v>
      </c>
      <c r="J114">
        <v>43582</v>
      </c>
      <c r="K114">
        <v>10</v>
      </c>
      <c r="L114" t="s">
        <v>37</v>
      </c>
      <c r="M114" t="s">
        <v>44</v>
      </c>
      <c r="N114">
        <v>11.37</v>
      </c>
      <c r="O114" s="1">
        <v>45667</v>
      </c>
      <c r="P114" s="1">
        <v>45698</v>
      </c>
      <c r="Q114" t="s">
        <v>419</v>
      </c>
    </row>
    <row r="115" spans="1:17">
      <c r="A115" t="s">
        <v>151</v>
      </c>
      <c r="B115" t="s">
        <v>14</v>
      </c>
      <c r="C115" s="1">
        <v>45610</v>
      </c>
      <c r="D115" t="s">
        <v>28</v>
      </c>
      <c r="E115" t="s">
        <v>29</v>
      </c>
      <c r="F115">
        <v>4000</v>
      </c>
      <c r="G115">
        <v>689</v>
      </c>
      <c r="H115">
        <v>488</v>
      </c>
      <c r="I115">
        <v>40000</v>
      </c>
      <c r="J115">
        <v>39569</v>
      </c>
      <c r="K115">
        <v>44</v>
      </c>
      <c r="L115" t="s">
        <v>369</v>
      </c>
      <c r="M115" t="s">
        <v>32</v>
      </c>
      <c r="N115">
        <v>12.94</v>
      </c>
      <c r="O115" s="1">
        <v>45570</v>
      </c>
      <c r="P115" s="1">
        <v>45601</v>
      </c>
      <c r="Q115" t="s">
        <v>417</v>
      </c>
    </row>
    <row r="116" spans="1:17">
      <c r="A116" t="s">
        <v>152</v>
      </c>
      <c r="B116" t="s">
        <v>14</v>
      </c>
      <c r="C116" s="1">
        <v>45788</v>
      </c>
      <c r="D116" t="s">
        <v>40</v>
      </c>
      <c r="E116" t="s">
        <v>41</v>
      </c>
      <c r="F116">
        <v>2493</v>
      </c>
      <c r="G116">
        <v>97</v>
      </c>
      <c r="H116">
        <v>44</v>
      </c>
      <c r="I116">
        <v>42381</v>
      </c>
      <c r="J116">
        <v>41991</v>
      </c>
      <c r="K116">
        <v>242</v>
      </c>
      <c r="L116" t="s">
        <v>363</v>
      </c>
      <c r="M116" t="s">
        <v>18</v>
      </c>
      <c r="N116">
        <v>6.22</v>
      </c>
      <c r="O116" s="1">
        <v>45505</v>
      </c>
      <c r="P116" s="1">
        <v>45535</v>
      </c>
      <c r="Q116" t="s">
        <v>417</v>
      </c>
    </row>
    <row r="117" spans="1:17">
      <c r="A117" t="s">
        <v>153</v>
      </c>
      <c r="B117" t="s">
        <v>25</v>
      </c>
      <c r="C117" s="1">
        <v>45734</v>
      </c>
      <c r="D117" t="s">
        <v>15</v>
      </c>
      <c r="E117" t="s">
        <v>16</v>
      </c>
      <c r="F117">
        <v>3704</v>
      </c>
      <c r="G117">
        <v>186</v>
      </c>
      <c r="H117">
        <v>458</v>
      </c>
      <c r="I117">
        <v>25928</v>
      </c>
      <c r="J117">
        <v>25081</v>
      </c>
      <c r="K117">
        <v>131</v>
      </c>
      <c r="L117" t="s">
        <v>31</v>
      </c>
      <c r="M117" t="s">
        <v>18</v>
      </c>
      <c r="N117">
        <v>16.77</v>
      </c>
      <c r="O117" s="1">
        <v>45505</v>
      </c>
      <c r="P117" s="1">
        <v>45535</v>
      </c>
      <c r="Q117" t="s">
        <v>417</v>
      </c>
    </row>
    <row r="118" spans="1:17">
      <c r="A118" t="s">
        <v>154</v>
      </c>
      <c r="B118" t="s">
        <v>14</v>
      </c>
      <c r="C118" s="1">
        <v>45600</v>
      </c>
      <c r="D118" t="s">
        <v>40</v>
      </c>
      <c r="E118" t="s">
        <v>41</v>
      </c>
      <c r="F118">
        <v>1606</v>
      </c>
      <c r="G118">
        <v>451</v>
      </c>
      <c r="H118">
        <v>405</v>
      </c>
      <c r="I118">
        <v>20878</v>
      </c>
      <c r="J118">
        <v>20190</v>
      </c>
      <c r="K118">
        <v>219</v>
      </c>
      <c r="L118" t="s">
        <v>363</v>
      </c>
      <c r="M118" t="s">
        <v>23</v>
      </c>
      <c r="N118">
        <v>11.79</v>
      </c>
      <c r="O118" s="1">
        <v>45453</v>
      </c>
      <c r="P118" s="1">
        <v>45478</v>
      </c>
      <c r="Q118" t="s">
        <v>417</v>
      </c>
    </row>
    <row r="119" spans="1:17">
      <c r="A119" t="s">
        <v>155</v>
      </c>
      <c r="B119" t="s">
        <v>34</v>
      </c>
      <c r="C119" s="1">
        <v>45600</v>
      </c>
      <c r="D119" t="s">
        <v>40</v>
      </c>
      <c r="E119" t="s">
        <v>41</v>
      </c>
      <c r="F119">
        <v>4551</v>
      </c>
      <c r="G119">
        <v>714</v>
      </c>
      <c r="H119">
        <v>207</v>
      </c>
      <c r="I119">
        <v>68265</v>
      </c>
      <c r="J119">
        <v>67754</v>
      </c>
      <c r="K119">
        <v>57</v>
      </c>
      <c r="L119" t="s">
        <v>37</v>
      </c>
      <c r="M119" t="s">
        <v>23</v>
      </c>
      <c r="N119">
        <v>8.02</v>
      </c>
      <c r="O119" s="1">
        <v>45453</v>
      </c>
      <c r="P119" s="1">
        <v>45478</v>
      </c>
      <c r="Q119" t="s">
        <v>417</v>
      </c>
    </row>
    <row r="120" spans="1:17">
      <c r="A120" t="s">
        <v>156</v>
      </c>
      <c r="B120" t="s">
        <v>27</v>
      </c>
      <c r="C120" s="1">
        <v>45695</v>
      </c>
      <c r="D120" t="s">
        <v>15</v>
      </c>
      <c r="E120" t="s">
        <v>16</v>
      </c>
      <c r="F120">
        <v>1970</v>
      </c>
      <c r="G120">
        <v>675</v>
      </c>
      <c r="H120">
        <v>478</v>
      </c>
      <c r="I120">
        <v>9850</v>
      </c>
      <c r="J120">
        <v>8924</v>
      </c>
      <c r="K120">
        <v>117</v>
      </c>
      <c r="L120" t="s">
        <v>37</v>
      </c>
      <c r="M120" t="s">
        <v>44</v>
      </c>
      <c r="N120">
        <v>31.71</v>
      </c>
      <c r="O120" s="1">
        <v>45667</v>
      </c>
      <c r="P120" s="1">
        <v>45698</v>
      </c>
      <c r="Q120" t="s">
        <v>418</v>
      </c>
    </row>
    <row r="121" spans="1:17">
      <c r="A121" t="s">
        <v>157</v>
      </c>
      <c r="B121" t="s">
        <v>34</v>
      </c>
      <c r="C121" s="1">
        <v>45586</v>
      </c>
      <c r="D121" t="s">
        <v>28</v>
      </c>
      <c r="E121" t="s">
        <v>29</v>
      </c>
      <c r="F121">
        <v>780</v>
      </c>
      <c r="G121">
        <v>928</v>
      </c>
      <c r="H121">
        <v>301</v>
      </c>
      <c r="I121">
        <v>8580</v>
      </c>
      <c r="J121">
        <v>8081</v>
      </c>
      <c r="K121">
        <v>91</v>
      </c>
      <c r="L121" t="s">
        <v>360</v>
      </c>
      <c r="M121" t="s">
        <v>44</v>
      </c>
      <c r="N121">
        <v>23.41</v>
      </c>
      <c r="O121" s="1">
        <v>45667</v>
      </c>
      <c r="P121" s="1">
        <v>45698</v>
      </c>
      <c r="Q121" t="s">
        <v>419</v>
      </c>
    </row>
    <row r="122" spans="1:17">
      <c r="A122" t="s">
        <v>158</v>
      </c>
      <c r="B122" t="s">
        <v>27</v>
      </c>
      <c r="C122" s="1">
        <v>45502</v>
      </c>
      <c r="D122" t="s">
        <v>28</v>
      </c>
      <c r="E122" t="s">
        <v>29</v>
      </c>
      <c r="F122">
        <v>498</v>
      </c>
      <c r="G122">
        <v>701</v>
      </c>
      <c r="H122">
        <v>412</v>
      </c>
      <c r="I122">
        <v>4980</v>
      </c>
      <c r="J122">
        <v>4185</v>
      </c>
      <c r="K122">
        <v>185</v>
      </c>
      <c r="L122" t="s">
        <v>375</v>
      </c>
      <c r="M122" t="s">
        <v>44</v>
      </c>
      <c r="N122">
        <v>32.35</v>
      </c>
      <c r="O122" s="1">
        <v>45667</v>
      </c>
      <c r="P122" s="1">
        <v>45698</v>
      </c>
      <c r="Q122" t="s">
        <v>419</v>
      </c>
    </row>
    <row r="123" spans="1:17">
      <c r="A123" t="s">
        <v>159</v>
      </c>
      <c r="B123" t="s">
        <v>27</v>
      </c>
      <c r="C123" s="1">
        <v>45567</v>
      </c>
      <c r="D123" t="s">
        <v>20</v>
      </c>
      <c r="E123" t="s">
        <v>21</v>
      </c>
      <c r="F123">
        <v>3432</v>
      </c>
      <c r="G123">
        <v>869</v>
      </c>
      <c r="H123">
        <v>123</v>
      </c>
      <c r="I123">
        <v>54912</v>
      </c>
      <c r="J123">
        <v>53916</v>
      </c>
      <c r="K123">
        <v>264</v>
      </c>
      <c r="L123" t="s">
        <v>376</v>
      </c>
      <c r="M123" t="s">
        <v>23</v>
      </c>
      <c r="N123">
        <v>8.06</v>
      </c>
      <c r="O123" s="1">
        <v>45453</v>
      </c>
      <c r="P123" s="1">
        <v>45478</v>
      </c>
      <c r="Q123" t="s">
        <v>417</v>
      </c>
    </row>
    <row r="124" spans="1:17">
      <c r="A124" t="s">
        <v>160</v>
      </c>
      <c r="B124" t="s">
        <v>27</v>
      </c>
      <c r="C124" s="1">
        <v>45457</v>
      </c>
      <c r="D124" t="s">
        <v>28</v>
      </c>
      <c r="E124" t="s">
        <v>29</v>
      </c>
      <c r="F124">
        <v>4363</v>
      </c>
      <c r="G124">
        <v>649</v>
      </c>
      <c r="H124">
        <v>140</v>
      </c>
      <c r="I124">
        <v>21815</v>
      </c>
      <c r="J124">
        <v>21481</v>
      </c>
      <c r="K124">
        <v>157</v>
      </c>
      <c r="L124" t="s">
        <v>360</v>
      </c>
      <c r="M124" t="s">
        <v>23</v>
      </c>
      <c r="N124">
        <v>23.62</v>
      </c>
      <c r="O124" s="1">
        <v>45453</v>
      </c>
      <c r="P124" s="1">
        <v>45478</v>
      </c>
      <c r="Q124" t="s">
        <v>418</v>
      </c>
    </row>
    <row r="125" spans="1:17">
      <c r="A125" t="s">
        <v>161</v>
      </c>
      <c r="B125" t="s">
        <v>25</v>
      </c>
      <c r="C125" s="1">
        <v>45753</v>
      </c>
      <c r="D125" t="s">
        <v>35</v>
      </c>
      <c r="E125" t="s">
        <v>36</v>
      </c>
      <c r="F125">
        <v>736</v>
      </c>
      <c r="G125">
        <v>771</v>
      </c>
      <c r="H125">
        <v>225</v>
      </c>
      <c r="I125">
        <v>5152</v>
      </c>
      <c r="J125">
        <v>4706</v>
      </c>
      <c r="K125">
        <v>19</v>
      </c>
      <c r="L125" t="s">
        <v>31</v>
      </c>
      <c r="M125" t="s">
        <v>32</v>
      </c>
      <c r="N125">
        <v>33.619999999999997</v>
      </c>
      <c r="O125" s="1">
        <v>45570</v>
      </c>
      <c r="P125" s="1">
        <v>45601</v>
      </c>
      <c r="Q125" t="s">
        <v>417</v>
      </c>
    </row>
    <row r="126" spans="1:17">
      <c r="A126" t="s">
        <v>162</v>
      </c>
      <c r="B126" t="s">
        <v>14</v>
      </c>
      <c r="C126" s="1">
        <v>45543</v>
      </c>
      <c r="D126" t="s">
        <v>35</v>
      </c>
      <c r="E126" t="s">
        <v>36</v>
      </c>
      <c r="F126">
        <v>3811</v>
      </c>
      <c r="G126">
        <v>866</v>
      </c>
      <c r="H126">
        <v>216</v>
      </c>
      <c r="I126">
        <v>34299</v>
      </c>
      <c r="J126">
        <v>34088</v>
      </c>
      <c r="K126">
        <v>233</v>
      </c>
      <c r="L126" t="s">
        <v>31</v>
      </c>
      <c r="M126" t="s">
        <v>32</v>
      </c>
      <c r="N126">
        <v>14.27</v>
      </c>
      <c r="O126" s="1">
        <v>45570</v>
      </c>
      <c r="P126" s="1">
        <v>45601</v>
      </c>
      <c r="Q126" t="s">
        <v>419</v>
      </c>
    </row>
    <row r="127" spans="1:17">
      <c r="A127" t="s">
        <v>163</v>
      </c>
      <c r="B127" t="s">
        <v>27</v>
      </c>
      <c r="C127" s="1">
        <v>45744</v>
      </c>
      <c r="D127" t="s">
        <v>35</v>
      </c>
      <c r="E127" t="s">
        <v>36</v>
      </c>
      <c r="F127">
        <v>4158</v>
      </c>
      <c r="G127">
        <v>167</v>
      </c>
      <c r="H127">
        <v>241</v>
      </c>
      <c r="I127">
        <v>45738</v>
      </c>
      <c r="J127">
        <v>45183</v>
      </c>
      <c r="K127">
        <v>142</v>
      </c>
      <c r="L127" t="s">
        <v>22</v>
      </c>
      <c r="M127" t="s">
        <v>23</v>
      </c>
      <c r="N127">
        <v>9.98</v>
      </c>
      <c r="O127" s="1">
        <v>45453</v>
      </c>
      <c r="P127" s="1">
        <v>45478</v>
      </c>
      <c r="Q127" t="s">
        <v>417</v>
      </c>
    </row>
    <row r="128" spans="1:17">
      <c r="A128" t="s">
        <v>164</v>
      </c>
      <c r="B128" t="s">
        <v>34</v>
      </c>
      <c r="C128" s="1">
        <v>45684</v>
      </c>
      <c r="D128" t="s">
        <v>15</v>
      </c>
      <c r="E128" t="s">
        <v>16</v>
      </c>
      <c r="F128">
        <v>3452</v>
      </c>
      <c r="G128">
        <v>652</v>
      </c>
      <c r="H128">
        <v>442</v>
      </c>
      <c r="I128">
        <v>65588</v>
      </c>
      <c r="J128">
        <v>65049</v>
      </c>
      <c r="K128">
        <v>158</v>
      </c>
      <c r="L128" t="s">
        <v>363</v>
      </c>
      <c r="M128" t="s">
        <v>18</v>
      </c>
      <c r="N128">
        <v>6.93</v>
      </c>
      <c r="O128" s="1">
        <v>45505</v>
      </c>
      <c r="P128" s="1">
        <v>45535</v>
      </c>
      <c r="Q128" t="s">
        <v>417</v>
      </c>
    </row>
    <row r="129" spans="1:17">
      <c r="A129" t="s">
        <v>165</v>
      </c>
      <c r="B129" t="s">
        <v>14</v>
      </c>
      <c r="C129" s="1">
        <v>45667</v>
      </c>
      <c r="D129" t="s">
        <v>40</v>
      </c>
      <c r="E129" t="s">
        <v>41</v>
      </c>
      <c r="F129">
        <v>3092</v>
      </c>
      <c r="G129">
        <v>106</v>
      </c>
      <c r="H129">
        <v>291</v>
      </c>
      <c r="I129">
        <v>27828</v>
      </c>
      <c r="J129">
        <v>27217</v>
      </c>
      <c r="K129">
        <v>102</v>
      </c>
      <c r="L129" t="s">
        <v>31</v>
      </c>
      <c r="M129" t="s">
        <v>44</v>
      </c>
      <c r="N129">
        <v>12.54</v>
      </c>
      <c r="O129" s="1">
        <v>45667</v>
      </c>
      <c r="P129" s="1">
        <v>45698</v>
      </c>
      <c r="Q129" t="s">
        <v>418</v>
      </c>
    </row>
    <row r="130" spans="1:17">
      <c r="A130" t="s">
        <v>166</v>
      </c>
      <c r="B130" t="s">
        <v>14</v>
      </c>
      <c r="C130" s="1">
        <v>45494</v>
      </c>
      <c r="D130" t="s">
        <v>20</v>
      </c>
      <c r="E130" t="s">
        <v>21</v>
      </c>
      <c r="F130">
        <v>2147</v>
      </c>
      <c r="G130">
        <v>430</v>
      </c>
      <c r="H130">
        <v>393</v>
      </c>
      <c r="I130">
        <v>17176</v>
      </c>
      <c r="J130">
        <v>16483</v>
      </c>
      <c r="K130">
        <v>170</v>
      </c>
      <c r="L130" t="s">
        <v>52</v>
      </c>
      <c r="M130" t="s">
        <v>44</v>
      </c>
      <c r="N130">
        <v>17.29</v>
      </c>
      <c r="O130" s="1">
        <v>45667</v>
      </c>
      <c r="P130" s="1">
        <v>45698</v>
      </c>
      <c r="Q130" t="s">
        <v>419</v>
      </c>
    </row>
    <row r="131" spans="1:17">
      <c r="A131" t="s">
        <v>167</v>
      </c>
      <c r="B131" t="s">
        <v>25</v>
      </c>
      <c r="C131" s="1">
        <v>45564</v>
      </c>
      <c r="D131" t="s">
        <v>15</v>
      </c>
      <c r="E131" t="s">
        <v>16</v>
      </c>
      <c r="F131">
        <v>2936</v>
      </c>
      <c r="G131">
        <v>439</v>
      </c>
      <c r="H131">
        <v>44</v>
      </c>
      <c r="I131">
        <v>38168</v>
      </c>
      <c r="J131">
        <v>37571</v>
      </c>
      <c r="K131">
        <v>22</v>
      </c>
      <c r="L131" t="s">
        <v>17</v>
      </c>
      <c r="M131" t="s">
        <v>32</v>
      </c>
      <c r="N131">
        <v>8.9600000000000009</v>
      </c>
      <c r="O131" s="1">
        <v>45570</v>
      </c>
      <c r="P131" s="1">
        <v>45601</v>
      </c>
      <c r="Q131" t="s">
        <v>419</v>
      </c>
    </row>
    <row r="132" spans="1:17">
      <c r="A132" t="s">
        <v>168</v>
      </c>
      <c r="B132" t="s">
        <v>27</v>
      </c>
      <c r="C132" s="1">
        <v>45586</v>
      </c>
      <c r="D132" t="s">
        <v>15</v>
      </c>
      <c r="E132" t="s">
        <v>16</v>
      </c>
      <c r="F132">
        <v>4840</v>
      </c>
      <c r="G132">
        <v>658</v>
      </c>
      <c r="H132">
        <v>211</v>
      </c>
      <c r="I132">
        <v>43560</v>
      </c>
      <c r="J132">
        <v>43225</v>
      </c>
      <c r="K132">
        <v>57</v>
      </c>
      <c r="L132" t="s">
        <v>360</v>
      </c>
      <c r="M132" t="s">
        <v>23</v>
      </c>
      <c r="N132">
        <v>13.11</v>
      </c>
      <c r="O132" s="1">
        <v>45453</v>
      </c>
      <c r="P132" s="1">
        <v>45478</v>
      </c>
      <c r="Q132" t="s">
        <v>417</v>
      </c>
    </row>
    <row r="133" spans="1:17">
      <c r="A133" t="s">
        <v>169</v>
      </c>
      <c r="B133" t="s">
        <v>27</v>
      </c>
      <c r="C133" s="1">
        <v>45720</v>
      </c>
      <c r="D133" t="s">
        <v>28</v>
      </c>
      <c r="E133" t="s">
        <v>29</v>
      </c>
      <c r="F133">
        <v>1947</v>
      </c>
      <c r="G133">
        <v>842</v>
      </c>
      <c r="H133">
        <v>101</v>
      </c>
      <c r="I133">
        <v>21417</v>
      </c>
      <c r="J133">
        <v>20967</v>
      </c>
      <c r="K133">
        <v>186</v>
      </c>
      <c r="L133" t="s">
        <v>22</v>
      </c>
      <c r="M133" t="s">
        <v>23</v>
      </c>
      <c r="N133">
        <v>13.49</v>
      </c>
      <c r="O133" s="1">
        <v>45453</v>
      </c>
      <c r="P133" s="1">
        <v>45478</v>
      </c>
      <c r="Q133" t="s">
        <v>417</v>
      </c>
    </row>
    <row r="134" spans="1:17">
      <c r="A134" t="s">
        <v>170</v>
      </c>
      <c r="B134" t="s">
        <v>34</v>
      </c>
      <c r="C134" s="1">
        <v>45694</v>
      </c>
      <c r="D134" t="s">
        <v>40</v>
      </c>
      <c r="E134" t="s">
        <v>41</v>
      </c>
      <c r="F134">
        <v>2072</v>
      </c>
      <c r="G134">
        <v>532</v>
      </c>
      <c r="H134">
        <v>71</v>
      </c>
      <c r="I134">
        <v>37296</v>
      </c>
      <c r="J134">
        <v>36467</v>
      </c>
      <c r="K134">
        <v>25</v>
      </c>
      <c r="L134" t="s">
        <v>17</v>
      </c>
      <c r="M134" t="s">
        <v>32</v>
      </c>
      <c r="N134">
        <v>7.17</v>
      </c>
      <c r="O134" s="1">
        <v>45570</v>
      </c>
      <c r="P134" s="1">
        <v>45601</v>
      </c>
      <c r="Q134" t="s">
        <v>417</v>
      </c>
    </row>
    <row r="135" spans="1:17">
      <c r="A135" t="s">
        <v>171</v>
      </c>
      <c r="B135" t="s">
        <v>14</v>
      </c>
      <c r="C135" s="1">
        <v>45771</v>
      </c>
      <c r="D135" t="s">
        <v>15</v>
      </c>
      <c r="E135" t="s">
        <v>16</v>
      </c>
      <c r="F135">
        <v>3731</v>
      </c>
      <c r="G135">
        <v>115</v>
      </c>
      <c r="H135">
        <v>135</v>
      </c>
      <c r="I135">
        <v>55965</v>
      </c>
      <c r="J135">
        <v>55436</v>
      </c>
      <c r="K135">
        <v>103</v>
      </c>
      <c r="L135" t="s">
        <v>52</v>
      </c>
      <c r="M135" t="s">
        <v>44</v>
      </c>
      <c r="N135">
        <v>7.11</v>
      </c>
      <c r="O135" s="1">
        <v>45667</v>
      </c>
      <c r="P135" s="1">
        <v>45698</v>
      </c>
      <c r="Q135" t="s">
        <v>417</v>
      </c>
    </row>
    <row r="136" spans="1:17">
      <c r="A136" t="s">
        <v>172</v>
      </c>
      <c r="B136" t="s">
        <v>34</v>
      </c>
      <c r="C136" s="1">
        <v>45624</v>
      </c>
      <c r="D136" t="s">
        <v>20</v>
      </c>
      <c r="E136" t="s">
        <v>21</v>
      </c>
      <c r="F136">
        <v>4213</v>
      </c>
      <c r="G136">
        <v>253</v>
      </c>
      <c r="H136">
        <v>434</v>
      </c>
      <c r="I136">
        <v>75834</v>
      </c>
      <c r="J136">
        <v>75437</v>
      </c>
      <c r="K136">
        <v>272</v>
      </c>
      <c r="L136" t="s">
        <v>37</v>
      </c>
      <c r="M136" t="s">
        <v>32</v>
      </c>
      <c r="N136">
        <v>6.46</v>
      </c>
      <c r="O136" s="1">
        <v>45570</v>
      </c>
      <c r="P136" s="1">
        <v>45601</v>
      </c>
      <c r="Q136" t="s">
        <v>417</v>
      </c>
    </row>
    <row r="137" spans="1:17">
      <c r="A137" t="s">
        <v>173</v>
      </c>
      <c r="B137" t="s">
        <v>27</v>
      </c>
      <c r="C137" s="1">
        <v>45484</v>
      </c>
      <c r="D137" t="s">
        <v>20</v>
      </c>
      <c r="E137" t="s">
        <v>21</v>
      </c>
      <c r="F137">
        <v>3134</v>
      </c>
      <c r="G137">
        <v>888</v>
      </c>
      <c r="H137">
        <v>444</v>
      </c>
      <c r="I137">
        <v>21938</v>
      </c>
      <c r="J137">
        <v>21337</v>
      </c>
      <c r="K137">
        <v>130</v>
      </c>
      <c r="L137" t="s">
        <v>360</v>
      </c>
      <c r="M137" t="s">
        <v>44</v>
      </c>
      <c r="N137">
        <v>20.36</v>
      </c>
      <c r="O137" s="1">
        <v>45667</v>
      </c>
      <c r="P137" s="1">
        <v>45698</v>
      </c>
      <c r="Q137" t="s">
        <v>419</v>
      </c>
    </row>
    <row r="138" spans="1:17">
      <c r="A138" t="s">
        <v>174</v>
      </c>
      <c r="B138" t="s">
        <v>34</v>
      </c>
      <c r="C138" s="1">
        <v>45504</v>
      </c>
      <c r="D138" t="s">
        <v>50</v>
      </c>
      <c r="E138" t="s">
        <v>51</v>
      </c>
      <c r="F138">
        <v>3008</v>
      </c>
      <c r="G138">
        <v>94</v>
      </c>
      <c r="H138">
        <v>37</v>
      </c>
      <c r="I138">
        <v>15040</v>
      </c>
      <c r="J138">
        <v>14639</v>
      </c>
      <c r="K138">
        <v>277</v>
      </c>
      <c r="L138" t="s">
        <v>52</v>
      </c>
      <c r="M138" t="s">
        <v>18</v>
      </c>
      <c r="N138">
        <v>20.87</v>
      </c>
      <c r="O138" s="1">
        <v>45505</v>
      </c>
      <c r="P138" s="1">
        <v>45535</v>
      </c>
      <c r="Q138" t="s">
        <v>419</v>
      </c>
    </row>
    <row r="139" spans="1:17">
      <c r="A139" t="s">
        <v>175</v>
      </c>
      <c r="B139" t="s">
        <v>14</v>
      </c>
      <c r="C139" s="1">
        <v>45745</v>
      </c>
      <c r="D139" t="s">
        <v>40</v>
      </c>
      <c r="E139" t="s">
        <v>41</v>
      </c>
      <c r="F139">
        <v>305</v>
      </c>
      <c r="G139">
        <v>187</v>
      </c>
      <c r="H139">
        <v>243</v>
      </c>
      <c r="I139">
        <v>4575</v>
      </c>
      <c r="J139">
        <v>3704</v>
      </c>
      <c r="K139">
        <v>234</v>
      </c>
      <c r="L139" t="s">
        <v>376</v>
      </c>
      <c r="M139" t="s">
        <v>44</v>
      </c>
      <c r="N139">
        <v>16.07</v>
      </c>
      <c r="O139" s="1">
        <v>45667</v>
      </c>
      <c r="P139" s="1">
        <v>45698</v>
      </c>
      <c r="Q139" t="s">
        <v>417</v>
      </c>
    </row>
    <row r="140" spans="1:17">
      <c r="A140" t="s">
        <v>176</v>
      </c>
      <c r="B140" t="s">
        <v>25</v>
      </c>
      <c r="C140" s="1">
        <v>45594</v>
      </c>
      <c r="D140" t="s">
        <v>20</v>
      </c>
      <c r="E140" t="s">
        <v>21</v>
      </c>
      <c r="F140">
        <v>2746</v>
      </c>
      <c r="G140">
        <v>156</v>
      </c>
      <c r="H140">
        <v>203</v>
      </c>
      <c r="I140">
        <v>32952</v>
      </c>
      <c r="J140">
        <v>32147</v>
      </c>
      <c r="K140">
        <v>147</v>
      </c>
      <c r="L140" t="s">
        <v>370</v>
      </c>
      <c r="M140" t="s">
        <v>23</v>
      </c>
      <c r="N140">
        <v>9.42</v>
      </c>
      <c r="O140" s="1">
        <v>45453</v>
      </c>
      <c r="P140" s="1">
        <v>45478</v>
      </c>
      <c r="Q140" t="s">
        <v>417</v>
      </c>
    </row>
    <row r="141" spans="1:17">
      <c r="A141" t="s">
        <v>177</v>
      </c>
      <c r="B141" t="s">
        <v>34</v>
      </c>
      <c r="C141" s="1">
        <v>45488</v>
      </c>
      <c r="D141" t="s">
        <v>40</v>
      </c>
      <c r="E141" t="s">
        <v>41</v>
      </c>
      <c r="F141">
        <v>2291</v>
      </c>
      <c r="G141">
        <v>78</v>
      </c>
      <c r="H141">
        <v>485</v>
      </c>
      <c r="I141">
        <v>18328</v>
      </c>
      <c r="J141">
        <v>18101</v>
      </c>
      <c r="K141">
        <v>10</v>
      </c>
      <c r="L141" t="s">
        <v>52</v>
      </c>
      <c r="M141" t="s">
        <v>18</v>
      </c>
      <c r="N141">
        <v>15.57</v>
      </c>
      <c r="O141" s="1">
        <v>45505</v>
      </c>
      <c r="P141" s="1">
        <v>45535</v>
      </c>
      <c r="Q141" t="s">
        <v>419</v>
      </c>
    </row>
    <row r="142" spans="1:17">
      <c r="A142" t="s">
        <v>178</v>
      </c>
      <c r="B142" t="s">
        <v>14</v>
      </c>
      <c r="C142" s="1">
        <v>45535</v>
      </c>
      <c r="D142" t="s">
        <v>40</v>
      </c>
      <c r="E142" t="s">
        <v>41</v>
      </c>
      <c r="F142">
        <v>3170</v>
      </c>
      <c r="G142">
        <v>857</v>
      </c>
      <c r="H142">
        <v>379</v>
      </c>
      <c r="I142">
        <v>19020</v>
      </c>
      <c r="J142">
        <v>18559</v>
      </c>
      <c r="K142">
        <v>240</v>
      </c>
      <c r="L142" t="s">
        <v>17</v>
      </c>
      <c r="M142" t="s">
        <v>32</v>
      </c>
      <c r="N142">
        <v>23.17</v>
      </c>
      <c r="O142" s="1">
        <v>45570</v>
      </c>
      <c r="P142" s="1">
        <v>45601</v>
      </c>
      <c r="Q142" t="s">
        <v>419</v>
      </c>
    </row>
    <row r="143" spans="1:17">
      <c r="A143" t="s">
        <v>179</v>
      </c>
      <c r="B143" t="s">
        <v>25</v>
      </c>
      <c r="C143" s="1">
        <v>45741</v>
      </c>
      <c r="D143" t="s">
        <v>28</v>
      </c>
      <c r="E143" t="s">
        <v>29</v>
      </c>
      <c r="F143">
        <v>2070</v>
      </c>
      <c r="G143">
        <v>275</v>
      </c>
      <c r="H143">
        <v>386</v>
      </c>
      <c r="I143">
        <v>39330</v>
      </c>
      <c r="J143">
        <v>38627</v>
      </c>
      <c r="K143">
        <v>114</v>
      </c>
      <c r="L143" t="s">
        <v>17</v>
      </c>
      <c r="M143" t="s">
        <v>44</v>
      </c>
      <c r="N143">
        <v>6.94</v>
      </c>
      <c r="O143" s="1">
        <v>45667</v>
      </c>
      <c r="P143" s="1">
        <v>45698</v>
      </c>
      <c r="Q143" t="s">
        <v>417</v>
      </c>
    </row>
    <row r="144" spans="1:17">
      <c r="A144" t="s">
        <v>180</v>
      </c>
      <c r="B144" t="s">
        <v>25</v>
      </c>
      <c r="C144" s="1">
        <v>45567</v>
      </c>
      <c r="D144" t="s">
        <v>35</v>
      </c>
      <c r="E144" t="s">
        <v>36</v>
      </c>
      <c r="F144">
        <v>80</v>
      </c>
      <c r="G144">
        <v>362</v>
      </c>
      <c r="H144">
        <v>80</v>
      </c>
      <c r="I144">
        <v>1040</v>
      </c>
      <c r="J144">
        <v>349</v>
      </c>
      <c r="K144">
        <v>117</v>
      </c>
      <c r="L144" t="s">
        <v>370</v>
      </c>
      <c r="M144" t="s">
        <v>23</v>
      </c>
      <c r="N144">
        <v>50.19</v>
      </c>
      <c r="O144" s="1">
        <v>45453</v>
      </c>
      <c r="P144" s="1">
        <v>45478</v>
      </c>
      <c r="Q144" t="s">
        <v>417</v>
      </c>
    </row>
    <row r="145" spans="1:17">
      <c r="A145" t="s">
        <v>181</v>
      </c>
      <c r="B145" t="s">
        <v>25</v>
      </c>
      <c r="C145" s="1">
        <v>45593</v>
      </c>
      <c r="D145" t="s">
        <v>28</v>
      </c>
      <c r="E145" t="s">
        <v>29</v>
      </c>
      <c r="F145">
        <v>4929</v>
      </c>
      <c r="G145">
        <v>749</v>
      </c>
      <c r="H145">
        <v>452</v>
      </c>
      <c r="I145">
        <v>93651</v>
      </c>
      <c r="J145">
        <v>92810</v>
      </c>
      <c r="K145">
        <v>66</v>
      </c>
      <c r="L145" t="s">
        <v>374</v>
      </c>
      <c r="M145" t="s">
        <v>18</v>
      </c>
      <c r="N145">
        <v>6.55</v>
      </c>
      <c r="O145" s="1">
        <v>45505</v>
      </c>
      <c r="P145" s="1">
        <v>45535</v>
      </c>
      <c r="Q145" t="s">
        <v>417</v>
      </c>
    </row>
    <row r="146" spans="1:17">
      <c r="A146" t="s">
        <v>182</v>
      </c>
      <c r="B146" t="s">
        <v>27</v>
      </c>
      <c r="C146" s="1">
        <v>45516</v>
      </c>
      <c r="D146" t="s">
        <v>35</v>
      </c>
      <c r="E146" t="s">
        <v>36</v>
      </c>
      <c r="F146">
        <v>1878</v>
      </c>
      <c r="G146">
        <v>62</v>
      </c>
      <c r="H146">
        <v>179</v>
      </c>
      <c r="I146">
        <v>37560</v>
      </c>
      <c r="J146">
        <v>36874</v>
      </c>
      <c r="K146">
        <v>142</v>
      </c>
      <c r="L146" t="s">
        <v>372</v>
      </c>
      <c r="M146" t="s">
        <v>18</v>
      </c>
      <c r="N146">
        <v>5.64</v>
      </c>
      <c r="O146" s="1">
        <v>45505</v>
      </c>
      <c r="P146" s="1">
        <v>45535</v>
      </c>
      <c r="Q146" t="s">
        <v>418</v>
      </c>
    </row>
    <row r="147" spans="1:17">
      <c r="A147" t="s">
        <v>183</v>
      </c>
      <c r="B147" t="s">
        <v>25</v>
      </c>
      <c r="C147" s="1">
        <v>45448</v>
      </c>
      <c r="D147" t="s">
        <v>15</v>
      </c>
      <c r="E147" t="s">
        <v>16</v>
      </c>
      <c r="F147">
        <v>3065</v>
      </c>
      <c r="G147">
        <v>772</v>
      </c>
      <c r="H147">
        <v>142</v>
      </c>
      <c r="I147">
        <v>18390</v>
      </c>
      <c r="J147">
        <v>17875</v>
      </c>
      <c r="K147">
        <v>200</v>
      </c>
      <c r="L147" t="s">
        <v>31</v>
      </c>
      <c r="M147" t="s">
        <v>18</v>
      </c>
      <c r="N147">
        <v>21.64</v>
      </c>
      <c r="O147" s="1">
        <v>45505</v>
      </c>
      <c r="P147" s="1">
        <v>45535</v>
      </c>
      <c r="Q147" t="s">
        <v>419</v>
      </c>
    </row>
    <row r="148" spans="1:17">
      <c r="A148" t="s">
        <v>184</v>
      </c>
      <c r="B148" t="s">
        <v>27</v>
      </c>
      <c r="C148" s="1">
        <v>45586</v>
      </c>
      <c r="D148" t="s">
        <v>15</v>
      </c>
      <c r="E148" t="s">
        <v>16</v>
      </c>
      <c r="F148">
        <v>3256</v>
      </c>
      <c r="G148">
        <v>459</v>
      </c>
      <c r="H148">
        <v>266</v>
      </c>
      <c r="I148">
        <v>26048</v>
      </c>
      <c r="J148">
        <v>25529</v>
      </c>
      <c r="K148">
        <v>143</v>
      </c>
      <c r="L148" t="s">
        <v>363</v>
      </c>
      <c r="M148" t="s">
        <v>32</v>
      </c>
      <c r="N148">
        <v>15.28</v>
      </c>
      <c r="O148" s="1">
        <v>45570</v>
      </c>
      <c r="P148" s="1">
        <v>45601</v>
      </c>
      <c r="Q148" t="s">
        <v>418</v>
      </c>
    </row>
    <row r="149" spans="1:17">
      <c r="A149" t="s">
        <v>185</v>
      </c>
      <c r="B149" t="s">
        <v>27</v>
      </c>
      <c r="C149" s="1">
        <v>45762</v>
      </c>
      <c r="D149" t="s">
        <v>50</v>
      </c>
      <c r="E149" t="s">
        <v>51</v>
      </c>
      <c r="F149">
        <v>4133</v>
      </c>
      <c r="G149">
        <v>466</v>
      </c>
      <c r="H149">
        <v>327</v>
      </c>
      <c r="I149">
        <v>24798</v>
      </c>
      <c r="J149">
        <v>24620</v>
      </c>
      <c r="K149">
        <v>176</v>
      </c>
      <c r="L149" t="s">
        <v>31</v>
      </c>
      <c r="M149" t="s">
        <v>23</v>
      </c>
      <c r="N149">
        <v>19.86</v>
      </c>
      <c r="O149" s="1">
        <v>45453</v>
      </c>
      <c r="P149" s="1">
        <v>45478</v>
      </c>
      <c r="Q149" t="s">
        <v>417</v>
      </c>
    </row>
    <row r="150" spans="1:17">
      <c r="A150" t="s">
        <v>186</v>
      </c>
      <c r="B150" t="s">
        <v>14</v>
      </c>
      <c r="C150" s="1">
        <v>45459</v>
      </c>
      <c r="D150" t="s">
        <v>50</v>
      </c>
      <c r="E150" t="s">
        <v>51</v>
      </c>
      <c r="F150">
        <v>1702</v>
      </c>
      <c r="G150">
        <v>750</v>
      </c>
      <c r="H150">
        <v>179</v>
      </c>
      <c r="I150">
        <v>34040</v>
      </c>
      <c r="J150">
        <v>33174</v>
      </c>
      <c r="K150">
        <v>76</v>
      </c>
      <c r="L150" t="s">
        <v>37</v>
      </c>
      <c r="M150" t="s">
        <v>32</v>
      </c>
      <c r="N150">
        <v>7.73</v>
      </c>
      <c r="O150" s="1">
        <v>45570</v>
      </c>
      <c r="P150" s="1">
        <v>45601</v>
      </c>
      <c r="Q150" t="s">
        <v>419</v>
      </c>
    </row>
    <row r="151" spans="1:17">
      <c r="A151" t="s">
        <v>187</v>
      </c>
      <c r="B151" t="s">
        <v>25</v>
      </c>
      <c r="C151" s="1">
        <v>45526</v>
      </c>
      <c r="D151" t="s">
        <v>35</v>
      </c>
      <c r="E151" t="s">
        <v>36</v>
      </c>
      <c r="F151">
        <v>4295</v>
      </c>
      <c r="G151">
        <v>853</v>
      </c>
      <c r="H151">
        <v>325</v>
      </c>
      <c r="I151">
        <v>85900</v>
      </c>
      <c r="J151">
        <v>85788</v>
      </c>
      <c r="K151">
        <v>290</v>
      </c>
      <c r="L151" t="s">
        <v>373</v>
      </c>
      <c r="M151" t="s">
        <v>23</v>
      </c>
      <c r="N151">
        <v>6.37</v>
      </c>
      <c r="O151" s="1">
        <v>45453</v>
      </c>
      <c r="P151" s="1">
        <v>45478</v>
      </c>
      <c r="Q151" t="s">
        <v>417</v>
      </c>
    </row>
    <row r="152" spans="1:17">
      <c r="A152" t="s">
        <v>188</v>
      </c>
      <c r="B152" t="s">
        <v>27</v>
      </c>
      <c r="C152" s="1">
        <v>45499</v>
      </c>
      <c r="D152" t="s">
        <v>40</v>
      </c>
      <c r="E152" t="s">
        <v>41</v>
      </c>
      <c r="F152">
        <v>3559</v>
      </c>
      <c r="G152">
        <v>59</v>
      </c>
      <c r="H152">
        <v>289</v>
      </c>
      <c r="I152">
        <v>35590</v>
      </c>
      <c r="J152">
        <v>35105</v>
      </c>
      <c r="K152">
        <v>122</v>
      </c>
      <c r="L152" t="s">
        <v>374</v>
      </c>
      <c r="M152" t="s">
        <v>32</v>
      </c>
      <c r="N152">
        <v>10.98</v>
      </c>
      <c r="O152" s="1">
        <v>45570</v>
      </c>
      <c r="P152" s="1">
        <v>45601</v>
      </c>
      <c r="Q152" t="s">
        <v>419</v>
      </c>
    </row>
    <row r="153" spans="1:17">
      <c r="A153" t="s">
        <v>189</v>
      </c>
      <c r="B153" t="s">
        <v>34</v>
      </c>
      <c r="C153" s="1">
        <v>45769</v>
      </c>
      <c r="D153" t="s">
        <v>40</v>
      </c>
      <c r="E153" t="s">
        <v>41</v>
      </c>
      <c r="F153">
        <v>4804</v>
      </c>
      <c r="G153">
        <v>550</v>
      </c>
      <c r="H153">
        <v>270</v>
      </c>
      <c r="I153">
        <v>28824</v>
      </c>
      <c r="J153">
        <v>28370</v>
      </c>
      <c r="K153">
        <v>47</v>
      </c>
      <c r="L153" t="s">
        <v>363</v>
      </c>
      <c r="M153" t="s">
        <v>44</v>
      </c>
      <c r="N153">
        <v>19.510000000000002</v>
      </c>
      <c r="O153" s="1">
        <v>45667</v>
      </c>
      <c r="P153" s="1">
        <v>45698</v>
      </c>
      <c r="Q153" t="s">
        <v>417</v>
      </c>
    </row>
    <row r="154" spans="1:17">
      <c r="A154" t="s">
        <v>190</v>
      </c>
      <c r="B154" t="s">
        <v>14</v>
      </c>
      <c r="C154" s="1">
        <v>45658</v>
      </c>
      <c r="D154" t="s">
        <v>50</v>
      </c>
      <c r="E154" t="s">
        <v>51</v>
      </c>
      <c r="F154">
        <v>754</v>
      </c>
      <c r="G154">
        <v>197</v>
      </c>
      <c r="H154">
        <v>257</v>
      </c>
      <c r="I154">
        <v>6786</v>
      </c>
      <c r="J154">
        <v>6221</v>
      </c>
      <c r="K154">
        <v>212</v>
      </c>
      <c r="L154" t="s">
        <v>372</v>
      </c>
      <c r="M154" t="s">
        <v>32</v>
      </c>
      <c r="N154">
        <v>17.8</v>
      </c>
      <c r="O154" s="1">
        <v>45570</v>
      </c>
      <c r="P154" s="1">
        <v>45601</v>
      </c>
      <c r="Q154" t="s">
        <v>417</v>
      </c>
    </row>
    <row r="155" spans="1:17">
      <c r="A155" t="s">
        <v>191</v>
      </c>
      <c r="B155" t="s">
        <v>27</v>
      </c>
      <c r="C155" s="1">
        <v>45574</v>
      </c>
      <c r="D155" t="s">
        <v>35</v>
      </c>
      <c r="E155" t="s">
        <v>36</v>
      </c>
      <c r="F155">
        <v>985</v>
      </c>
      <c r="G155">
        <v>932</v>
      </c>
      <c r="H155">
        <v>287</v>
      </c>
      <c r="I155">
        <v>6895</v>
      </c>
      <c r="J155">
        <v>6757</v>
      </c>
      <c r="K155">
        <v>64</v>
      </c>
      <c r="L155" t="s">
        <v>360</v>
      </c>
      <c r="M155" t="s">
        <v>23</v>
      </c>
      <c r="N155">
        <v>31.97</v>
      </c>
      <c r="O155" s="1">
        <v>45453</v>
      </c>
      <c r="P155" s="1">
        <v>45478</v>
      </c>
      <c r="Q155" t="s">
        <v>417</v>
      </c>
    </row>
    <row r="156" spans="1:17">
      <c r="A156" t="s">
        <v>192</v>
      </c>
      <c r="B156" t="s">
        <v>25</v>
      </c>
      <c r="C156" s="1">
        <v>45647</v>
      </c>
      <c r="D156" t="s">
        <v>40</v>
      </c>
      <c r="E156" t="s">
        <v>41</v>
      </c>
      <c r="F156">
        <v>2283</v>
      </c>
      <c r="G156">
        <v>210</v>
      </c>
      <c r="H156">
        <v>130</v>
      </c>
      <c r="I156">
        <v>22830</v>
      </c>
      <c r="J156">
        <v>22617</v>
      </c>
      <c r="K156">
        <v>143</v>
      </c>
      <c r="L156" t="s">
        <v>370</v>
      </c>
      <c r="M156" t="s">
        <v>32</v>
      </c>
      <c r="N156">
        <v>11.49</v>
      </c>
      <c r="O156" s="1">
        <v>45570</v>
      </c>
      <c r="P156" s="1">
        <v>45601</v>
      </c>
      <c r="Q156" t="s">
        <v>417</v>
      </c>
    </row>
    <row r="157" spans="1:17">
      <c r="A157" t="s">
        <v>193</v>
      </c>
      <c r="B157" t="s">
        <v>34</v>
      </c>
      <c r="C157" s="1">
        <v>45587</v>
      </c>
      <c r="D157" t="s">
        <v>35</v>
      </c>
      <c r="E157" t="s">
        <v>36</v>
      </c>
      <c r="F157">
        <v>3352</v>
      </c>
      <c r="G157">
        <v>941</v>
      </c>
      <c r="H157">
        <v>482</v>
      </c>
      <c r="I157">
        <v>43576</v>
      </c>
      <c r="J157">
        <v>43338</v>
      </c>
      <c r="K157">
        <v>240</v>
      </c>
      <c r="L157" t="s">
        <v>37</v>
      </c>
      <c r="M157" t="s">
        <v>32</v>
      </c>
      <c r="N157">
        <v>10.96</v>
      </c>
      <c r="O157" s="1">
        <v>45570</v>
      </c>
      <c r="P157" s="1">
        <v>45601</v>
      </c>
      <c r="Q157" t="s">
        <v>418</v>
      </c>
    </row>
    <row r="158" spans="1:17">
      <c r="A158" t="s">
        <v>194</v>
      </c>
      <c r="B158" t="s">
        <v>25</v>
      </c>
      <c r="C158" s="1">
        <v>45496</v>
      </c>
      <c r="D158" t="s">
        <v>28</v>
      </c>
      <c r="E158" t="s">
        <v>29</v>
      </c>
      <c r="F158">
        <v>4775</v>
      </c>
      <c r="G158">
        <v>173</v>
      </c>
      <c r="H158">
        <v>206</v>
      </c>
      <c r="I158">
        <v>47750</v>
      </c>
      <c r="J158">
        <v>47544</v>
      </c>
      <c r="K158">
        <v>187</v>
      </c>
      <c r="L158" t="s">
        <v>364</v>
      </c>
      <c r="M158" t="s">
        <v>44</v>
      </c>
      <c r="N158">
        <v>10.79</v>
      </c>
      <c r="O158" s="1">
        <v>45667</v>
      </c>
      <c r="P158" s="1">
        <v>45698</v>
      </c>
      <c r="Q158" t="s">
        <v>419</v>
      </c>
    </row>
    <row r="159" spans="1:17">
      <c r="A159" t="s">
        <v>195</v>
      </c>
      <c r="B159" t="s">
        <v>27</v>
      </c>
      <c r="C159" s="1">
        <v>45515</v>
      </c>
      <c r="D159" t="s">
        <v>28</v>
      </c>
      <c r="E159" t="s">
        <v>29</v>
      </c>
      <c r="F159">
        <v>1762</v>
      </c>
      <c r="G159">
        <v>405</v>
      </c>
      <c r="H159">
        <v>423</v>
      </c>
      <c r="I159">
        <v>22906</v>
      </c>
      <c r="J159">
        <v>21925</v>
      </c>
      <c r="K159">
        <v>25</v>
      </c>
      <c r="L159" t="s">
        <v>52</v>
      </c>
      <c r="M159" t="s">
        <v>23</v>
      </c>
      <c r="N159">
        <v>11.31</v>
      </c>
      <c r="O159" s="1">
        <v>45453</v>
      </c>
      <c r="P159" s="1">
        <v>45478</v>
      </c>
      <c r="Q159" t="s">
        <v>417</v>
      </c>
    </row>
    <row r="160" spans="1:17">
      <c r="A160" t="s">
        <v>196</v>
      </c>
      <c r="B160" t="s">
        <v>34</v>
      </c>
      <c r="C160" s="1">
        <v>45621</v>
      </c>
      <c r="D160" t="s">
        <v>28</v>
      </c>
      <c r="E160" t="s">
        <v>29</v>
      </c>
      <c r="F160">
        <v>2120</v>
      </c>
      <c r="G160">
        <v>158</v>
      </c>
      <c r="H160">
        <v>488</v>
      </c>
      <c r="I160">
        <v>12720</v>
      </c>
      <c r="J160">
        <v>12085</v>
      </c>
      <c r="K160">
        <v>17</v>
      </c>
      <c r="L160" t="s">
        <v>364</v>
      </c>
      <c r="M160" t="s">
        <v>23</v>
      </c>
      <c r="N160">
        <v>21.75</v>
      </c>
      <c r="O160" s="1">
        <v>45453</v>
      </c>
      <c r="P160" s="1">
        <v>45478</v>
      </c>
      <c r="Q160" t="s">
        <v>417</v>
      </c>
    </row>
    <row r="161" spans="1:17">
      <c r="A161" t="s">
        <v>197</v>
      </c>
      <c r="B161" t="s">
        <v>14</v>
      </c>
      <c r="C161" s="1">
        <v>45528</v>
      </c>
      <c r="D161" t="s">
        <v>50</v>
      </c>
      <c r="E161" t="s">
        <v>51</v>
      </c>
      <c r="F161">
        <v>1082</v>
      </c>
      <c r="G161">
        <v>209</v>
      </c>
      <c r="H161">
        <v>484</v>
      </c>
      <c r="I161">
        <v>19476</v>
      </c>
      <c r="J161">
        <v>18654</v>
      </c>
      <c r="K161">
        <v>20</v>
      </c>
      <c r="L161" t="s">
        <v>31</v>
      </c>
      <c r="M161" t="s">
        <v>44</v>
      </c>
      <c r="N161">
        <v>9.11</v>
      </c>
      <c r="O161" s="1">
        <v>45667</v>
      </c>
      <c r="P161" s="1">
        <v>45698</v>
      </c>
      <c r="Q161" t="s">
        <v>419</v>
      </c>
    </row>
    <row r="162" spans="1:17">
      <c r="A162" t="s">
        <v>198</v>
      </c>
      <c r="B162" t="s">
        <v>14</v>
      </c>
      <c r="C162" s="1">
        <v>45707</v>
      </c>
      <c r="D162" t="s">
        <v>20</v>
      </c>
      <c r="E162" t="s">
        <v>21</v>
      </c>
      <c r="F162">
        <v>4671</v>
      </c>
      <c r="G162">
        <v>876</v>
      </c>
      <c r="H162">
        <v>366</v>
      </c>
      <c r="I162">
        <v>51381</v>
      </c>
      <c r="J162">
        <v>50565</v>
      </c>
      <c r="K162">
        <v>245</v>
      </c>
      <c r="L162" t="s">
        <v>17</v>
      </c>
      <c r="M162" t="s">
        <v>23</v>
      </c>
      <c r="N162">
        <v>11.51</v>
      </c>
      <c r="O162" s="1">
        <v>45453</v>
      </c>
      <c r="P162" s="1">
        <v>45478</v>
      </c>
      <c r="Q162" t="s">
        <v>417</v>
      </c>
    </row>
    <row r="163" spans="1:17">
      <c r="A163" t="s">
        <v>199</v>
      </c>
      <c r="B163" t="s">
        <v>34</v>
      </c>
      <c r="C163" s="1">
        <v>45748</v>
      </c>
      <c r="D163" t="s">
        <v>28</v>
      </c>
      <c r="E163" t="s">
        <v>29</v>
      </c>
      <c r="F163">
        <v>3430</v>
      </c>
      <c r="G163">
        <v>566</v>
      </c>
      <c r="H163">
        <v>164</v>
      </c>
      <c r="I163">
        <v>48020</v>
      </c>
      <c r="J163">
        <v>47305</v>
      </c>
      <c r="K163">
        <v>120</v>
      </c>
      <c r="L163" t="s">
        <v>37</v>
      </c>
      <c r="M163" t="s">
        <v>23</v>
      </c>
      <c r="N163">
        <v>8.66</v>
      </c>
      <c r="O163" s="1">
        <v>45453</v>
      </c>
      <c r="P163" s="1">
        <v>45478</v>
      </c>
      <c r="Q163" t="s">
        <v>417</v>
      </c>
    </row>
    <row r="164" spans="1:17">
      <c r="A164" t="s">
        <v>200</v>
      </c>
      <c r="B164" t="s">
        <v>27</v>
      </c>
      <c r="C164" s="1">
        <v>45755</v>
      </c>
      <c r="D164" t="s">
        <v>40</v>
      </c>
      <c r="E164" t="s">
        <v>41</v>
      </c>
      <c r="F164">
        <v>4501</v>
      </c>
      <c r="G164">
        <v>375</v>
      </c>
      <c r="H164">
        <v>323</v>
      </c>
      <c r="I164">
        <v>22505</v>
      </c>
      <c r="J164">
        <v>21836</v>
      </c>
      <c r="K164">
        <v>132</v>
      </c>
      <c r="L164" t="s">
        <v>22</v>
      </c>
      <c r="M164" t="s">
        <v>44</v>
      </c>
      <c r="N164">
        <v>23.1</v>
      </c>
      <c r="O164" s="1">
        <v>45667</v>
      </c>
      <c r="P164" s="1">
        <v>45698</v>
      </c>
      <c r="Q164" t="s">
        <v>417</v>
      </c>
    </row>
    <row r="165" spans="1:17">
      <c r="A165" t="s">
        <v>201</v>
      </c>
      <c r="B165" t="s">
        <v>25</v>
      </c>
      <c r="C165" s="1">
        <v>45715</v>
      </c>
      <c r="D165" t="s">
        <v>20</v>
      </c>
      <c r="E165" t="s">
        <v>21</v>
      </c>
      <c r="F165">
        <v>4934</v>
      </c>
      <c r="G165">
        <v>971</v>
      </c>
      <c r="H165">
        <v>156</v>
      </c>
      <c r="I165">
        <v>39472</v>
      </c>
      <c r="J165">
        <v>39025</v>
      </c>
      <c r="K165">
        <v>169</v>
      </c>
      <c r="L165" t="s">
        <v>375</v>
      </c>
      <c r="M165" t="s">
        <v>23</v>
      </c>
      <c r="N165">
        <v>15.36</v>
      </c>
      <c r="O165" s="1">
        <v>45453</v>
      </c>
      <c r="P165" s="1">
        <v>45478</v>
      </c>
      <c r="Q165" t="s">
        <v>417</v>
      </c>
    </row>
    <row r="166" spans="1:17">
      <c r="A166" t="s">
        <v>202</v>
      </c>
      <c r="B166" t="s">
        <v>14</v>
      </c>
      <c r="C166" s="1">
        <v>45637</v>
      </c>
      <c r="D166" t="s">
        <v>20</v>
      </c>
      <c r="E166" t="s">
        <v>21</v>
      </c>
      <c r="F166">
        <v>3239</v>
      </c>
      <c r="G166">
        <v>43</v>
      </c>
      <c r="H166">
        <v>211</v>
      </c>
      <c r="I166">
        <v>22673</v>
      </c>
      <c r="J166">
        <v>22171</v>
      </c>
      <c r="K166">
        <v>230</v>
      </c>
      <c r="L166" t="s">
        <v>374</v>
      </c>
      <c r="M166" t="s">
        <v>23</v>
      </c>
      <c r="N166">
        <v>15.41</v>
      </c>
      <c r="O166" s="1">
        <v>45453</v>
      </c>
      <c r="P166" s="1">
        <v>45478</v>
      </c>
      <c r="Q166" t="s">
        <v>417</v>
      </c>
    </row>
    <row r="167" spans="1:17">
      <c r="A167" t="s">
        <v>203</v>
      </c>
      <c r="B167" t="s">
        <v>14</v>
      </c>
      <c r="C167" s="1">
        <v>45704</v>
      </c>
      <c r="D167" t="s">
        <v>15</v>
      </c>
      <c r="E167" t="s">
        <v>16</v>
      </c>
      <c r="F167">
        <v>1076</v>
      </c>
      <c r="G167">
        <v>313</v>
      </c>
      <c r="H167">
        <v>306</v>
      </c>
      <c r="I167">
        <v>11836</v>
      </c>
      <c r="J167">
        <v>11596</v>
      </c>
      <c r="K167">
        <v>104</v>
      </c>
      <c r="L167" t="s">
        <v>52</v>
      </c>
      <c r="M167" t="s">
        <v>23</v>
      </c>
      <c r="N167">
        <v>14.32</v>
      </c>
      <c r="O167" s="1">
        <v>45453</v>
      </c>
      <c r="P167" s="1">
        <v>45478</v>
      </c>
      <c r="Q167" t="s">
        <v>417</v>
      </c>
    </row>
    <row r="168" spans="1:17">
      <c r="A168" t="s">
        <v>204</v>
      </c>
      <c r="B168" t="s">
        <v>27</v>
      </c>
      <c r="C168" s="1">
        <v>45624</v>
      </c>
      <c r="D168" t="s">
        <v>20</v>
      </c>
      <c r="E168" t="s">
        <v>21</v>
      </c>
      <c r="F168">
        <v>4771</v>
      </c>
      <c r="G168">
        <v>818</v>
      </c>
      <c r="H168">
        <v>56</v>
      </c>
      <c r="I168">
        <v>57252</v>
      </c>
      <c r="J168">
        <v>56378</v>
      </c>
      <c r="K168">
        <v>150</v>
      </c>
      <c r="L168" t="s">
        <v>17</v>
      </c>
      <c r="M168" t="s">
        <v>23</v>
      </c>
      <c r="N168">
        <v>9.86</v>
      </c>
      <c r="O168" s="1">
        <v>45453</v>
      </c>
      <c r="P168" s="1">
        <v>45478</v>
      </c>
      <c r="Q168" t="s">
        <v>417</v>
      </c>
    </row>
    <row r="169" spans="1:17">
      <c r="A169" t="s">
        <v>205</v>
      </c>
      <c r="B169" t="s">
        <v>34</v>
      </c>
      <c r="C169" s="1">
        <v>45608</v>
      </c>
      <c r="D169" t="s">
        <v>20</v>
      </c>
      <c r="E169" t="s">
        <v>21</v>
      </c>
      <c r="F169">
        <v>2418</v>
      </c>
      <c r="G169">
        <v>754</v>
      </c>
      <c r="H169">
        <v>54</v>
      </c>
      <c r="I169">
        <v>43524</v>
      </c>
      <c r="J169">
        <v>42743</v>
      </c>
      <c r="K169">
        <v>182</v>
      </c>
      <c r="L169" t="s">
        <v>376</v>
      </c>
      <c r="M169" t="s">
        <v>44</v>
      </c>
      <c r="N169">
        <v>7.41</v>
      </c>
      <c r="O169" s="1">
        <v>45667</v>
      </c>
      <c r="P169" s="1">
        <v>45698</v>
      </c>
      <c r="Q169" t="s">
        <v>419</v>
      </c>
    </row>
    <row r="170" spans="1:17">
      <c r="A170" t="s">
        <v>206</v>
      </c>
      <c r="B170" t="s">
        <v>25</v>
      </c>
      <c r="C170" s="1">
        <v>45629</v>
      </c>
      <c r="D170" t="s">
        <v>50</v>
      </c>
      <c r="E170" t="s">
        <v>51</v>
      </c>
      <c r="F170">
        <v>3809</v>
      </c>
      <c r="G170">
        <v>273</v>
      </c>
      <c r="H170">
        <v>200</v>
      </c>
      <c r="I170">
        <v>34281</v>
      </c>
      <c r="J170">
        <v>33534</v>
      </c>
      <c r="K170">
        <v>83</v>
      </c>
      <c r="L170" t="s">
        <v>37</v>
      </c>
      <c r="M170" t="s">
        <v>32</v>
      </c>
      <c r="N170">
        <v>12.49</v>
      </c>
      <c r="O170" s="1">
        <v>45570</v>
      </c>
      <c r="P170" s="1">
        <v>45601</v>
      </c>
      <c r="Q170" t="s">
        <v>417</v>
      </c>
    </row>
    <row r="171" spans="1:17">
      <c r="A171" t="s">
        <v>207</v>
      </c>
      <c r="B171" t="s">
        <v>14</v>
      </c>
      <c r="C171" s="1">
        <v>45775</v>
      </c>
      <c r="D171" t="s">
        <v>20</v>
      </c>
      <c r="E171" t="s">
        <v>21</v>
      </c>
      <c r="F171">
        <v>3577</v>
      </c>
      <c r="G171">
        <v>596</v>
      </c>
      <c r="H171">
        <v>493</v>
      </c>
      <c r="I171">
        <v>67963</v>
      </c>
      <c r="J171">
        <v>67839</v>
      </c>
      <c r="K171">
        <v>53</v>
      </c>
      <c r="L171" t="s">
        <v>364</v>
      </c>
      <c r="M171" t="s">
        <v>44</v>
      </c>
      <c r="N171">
        <v>6.87</v>
      </c>
      <c r="O171" s="1">
        <v>45667</v>
      </c>
      <c r="P171" s="1">
        <v>45698</v>
      </c>
      <c r="Q171" t="s">
        <v>417</v>
      </c>
    </row>
    <row r="172" spans="1:17">
      <c r="A172" t="s">
        <v>208</v>
      </c>
      <c r="B172" t="s">
        <v>25</v>
      </c>
      <c r="C172" s="1">
        <v>45657</v>
      </c>
      <c r="D172" t="s">
        <v>50</v>
      </c>
      <c r="E172" t="s">
        <v>51</v>
      </c>
      <c r="F172">
        <v>1018</v>
      </c>
      <c r="G172">
        <v>447</v>
      </c>
      <c r="H172">
        <v>332</v>
      </c>
      <c r="I172">
        <v>18324</v>
      </c>
      <c r="J172">
        <v>18164</v>
      </c>
      <c r="K172">
        <v>38</v>
      </c>
      <c r="L172" t="s">
        <v>360</v>
      </c>
      <c r="M172" t="s">
        <v>44</v>
      </c>
      <c r="N172">
        <v>9.81</v>
      </c>
      <c r="O172" s="1">
        <v>45667</v>
      </c>
      <c r="P172" s="1">
        <v>45698</v>
      </c>
      <c r="Q172" t="s">
        <v>419</v>
      </c>
    </row>
    <row r="173" spans="1:17">
      <c r="A173" t="s">
        <v>209</v>
      </c>
      <c r="B173" t="s">
        <v>34</v>
      </c>
      <c r="C173" s="1">
        <v>45518</v>
      </c>
      <c r="D173" t="s">
        <v>35</v>
      </c>
      <c r="E173" t="s">
        <v>36</v>
      </c>
      <c r="F173">
        <v>3073</v>
      </c>
      <c r="G173">
        <v>553</v>
      </c>
      <c r="H173">
        <v>174</v>
      </c>
      <c r="I173">
        <v>52241</v>
      </c>
      <c r="J173">
        <v>51605</v>
      </c>
      <c r="K173">
        <v>246</v>
      </c>
      <c r="L173" t="s">
        <v>370</v>
      </c>
      <c r="M173" t="s">
        <v>44</v>
      </c>
      <c r="N173">
        <v>7.27</v>
      </c>
      <c r="O173" s="1">
        <v>45667</v>
      </c>
      <c r="P173" s="1">
        <v>45698</v>
      </c>
      <c r="Q173" t="s">
        <v>419</v>
      </c>
    </row>
    <row r="174" spans="1:17">
      <c r="A174" t="s">
        <v>210</v>
      </c>
      <c r="B174" t="s">
        <v>14</v>
      </c>
      <c r="C174" s="1">
        <v>45631</v>
      </c>
      <c r="D174" t="s">
        <v>50</v>
      </c>
      <c r="E174" t="s">
        <v>51</v>
      </c>
      <c r="F174">
        <v>1330</v>
      </c>
      <c r="G174">
        <v>925</v>
      </c>
      <c r="H174">
        <v>35</v>
      </c>
      <c r="I174">
        <v>15960</v>
      </c>
      <c r="J174">
        <v>15379</v>
      </c>
      <c r="K174">
        <v>229</v>
      </c>
      <c r="L174" t="s">
        <v>372</v>
      </c>
      <c r="M174" t="s">
        <v>44</v>
      </c>
      <c r="N174">
        <v>14.35</v>
      </c>
      <c r="O174" s="1">
        <v>45667</v>
      </c>
      <c r="P174" s="1">
        <v>45698</v>
      </c>
      <c r="Q174" t="s">
        <v>419</v>
      </c>
    </row>
    <row r="175" spans="1:17">
      <c r="A175" t="s">
        <v>211</v>
      </c>
      <c r="B175" t="s">
        <v>34</v>
      </c>
      <c r="C175" s="1">
        <v>45465</v>
      </c>
      <c r="D175" t="s">
        <v>20</v>
      </c>
      <c r="E175" t="s">
        <v>21</v>
      </c>
      <c r="F175">
        <v>3828</v>
      </c>
      <c r="G175">
        <v>148</v>
      </c>
      <c r="H175">
        <v>253</v>
      </c>
      <c r="I175">
        <v>30624</v>
      </c>
      <c r="J175">
        <v>30229</v>
      </c>
      <c r="K175">
        <v>235</v>
      </c>
      <c r="L175" t="s">
        <v>363</v>
      </c>
      <c r="M175" t="s">
        <v>44</v>
      </c>
      <c r="N175">
        <v>13.81</v>
      </c>
      <c r="O175" s="1">
        <v>45667</v>
      </c>
      <c r="P175" s="1">
        <v>45698</v>
      </c>
      <c r="Q175" t="s">
        <v>419</v>
      </c>
    </row>
    <row r="176" spans="1:17">
      <c r="A176" t="s">
        <v>212</v>
      </c>
      <c r="B176" t="s">
        <v>27</v>
      </c>
      <c r="C176" s="1">
        <v>45674</v>
      </c>
      <c r="D176" t="s">
        <v>15</v>
      </c>
      <c r="E176" t="s">
        <v>16</v>
      </c>
      <c r="F176">
        <v>142</v>
      </c>
      <c r="G176">
        <v>784</v>
      </c>
      <c r="H176">
        <v>183</v>
      </c>
      <c r="I176">
        <v>1704</v>
      </c>
      <c r="J176">
        <v>995</v>
      </c>
      <c r="K176">
        <v>154</v>
      </c>
      <c r="L176" t="s">
        <v>17</v>
      </c>
      <c r="M176" t="s">
        <v>18</v>
      </c>
      <c r="N176">
        <v>65.08</v>
      </c>
      <c r="O176" s="1">
        <v>45505</v>
      </c>
      <c r="P176" s="1">
        <v>45535</v>
      </c>
      <c r="Q176" t="s">
        <v>417</v>
      </c>
    </row>
    <row r="177" spans="1:17">
      <c r="A177" t="s">
        <v>213</v>
      </c>
      <c r="B177" t="s">
        <v>34</v>
      </c>
      <c r="C177" s="1">
        <v>45463</v>
      </c>
      <c r="D177" t="s">
        <v>50</v>
      </c>
      <c r="E177" t="s">
        <v>51</v>
      </c>
      <c r="F177">
        <v>3798</v>
      </c>
      <c r="G177">
        <v>31</v>
      </c>
      <c r="H177">
        <v>279</v>
      </c>
      <c r="I177">
        <v>75960</v>
      </c>
      <c r="J177">
        <v>75813</v>
      </c>
      <c r="K177">
        <v>266</v>
      </c>
      <c r="L177" t="s">
        <v>22</v>
      </c>
      <c r="M177" t="s">
        <v>23</v>
      </c>
      <c r="N177">
        <v>5.41</v>
      </c>
      <c r="O177" s="1">
        <v>45453</v>
      </c>
      <c r="P177" s="1">
        <v>45478</v>
      </c>
      <c r="Q177" t="s">
        <v>418</v>
      </c>
    </row>
    <row r="178" spans="1:17">
      <c r="A178" t="s">
        <v>214</v>
      </c>
      <c r="B178" t="s">
        <v>27</v>
      </c>
      <c r="C178" s="1">
        <v>45483</v>
      </c>
      <c r="D178" t="s">
        <v>35</v>
      </c>
      <c r="E178" t="s">
        <v>36</v>
      </c>
      <c r="F178">
        <v>3099</v>
      </c>
      <c r="G178">
        <v>694</v>
      </c>
      <c r="H178">
        <v>171</v>
      </c>
      <c r="I178">
        <v>43386</v>
      </c>
      <c r="J178">
        <v>42921</v>
      </c>
      <c r="K178">
        <v>52</v>
      </c>
      <c r="L178" t="s">
        <v>52</v>
      </c>
      <c r="M178" t="s">
        <v>44</v>
      </c>
      <c r="N178">
        <v>9.14</v>
      </c>
      <c r="O178" s="1">
        <v>45667</v>
      </c>
      <c r="P178" s="1">
        <v>45698</v>
      </c>
      <c r="Q178" t="s">
        <v>419</v>
      </c>
    </row>
    <row r="179" spans="1:17">
      <c r="A179" t="s">
        <v>215</v>
      </c>
      <c r="B179" t="s">
        <v>27</v>
      </c>
      <c r="C179" s="1">
        <v>45603</v>
      </c>
      <c r="D179" t="s">
        <v>50</v>
      </c>
      <c r="E179" t="s">
        <v>51</v>
      </c>
      <c r="F179">
        <v>129</v>
      </c>
      <c r="G179">
        <v>643</v>
      </c>
      <c r="H179">
        <v>136</v>
      </c>
      <c r="I179">
        <v>1290</v>
      </c>
      <c r="J179">
        <v>839</v>
      </c>
      <c r="K179">
        <v>238</v>
      </c>
      <c r="L179" t="s">
        <v>371</v>
      </c>
      <c r="M179" t="s">
        <v>44</v>
      </c>
      <c r="N179">
        <v>70.39</v>
      </c>
      <c r="O179" s="1">
        <v>45667</v>
      </c>
      <c r="P179" s="1">
        <v>45698</v>
      </c>
      <c r="Q179" t="s">
        <v>419</v>
      </c>
    </row>
    <row r="180" spans="1:17">
      <c r="A180" t="s">
        <v>216</v>
      </c>
      <c r="B180" t="s">
        <v>34</v>
      </c>
      <c r="C180" s="1">
        <v>45488</v>
      </c>
      <c r="D180" t="s">
        <v>35</v>
      </c>
      <c r="E180" t="s">
        <v>36</v>
      </c>
      <c r="F180">
        <v>3796</v>
      </c>
      <c r="G180">
        <v>667</v>
      </c>
      <c r="H180">
        <v>395</v>
      </c>
      <c r="I180">
        <v>64532</v>
      </c>
      <c r="J180">
        <v>63550</v>
      </c>
      <c r="K180">
        <v>292</v>
      </c>
      <c r="L180" t="s">
        <v>31</v>
      </c>
      <c r="M180" t="s">
        <v>18</v>
      </c>
      <c r="N180">
        <v>7.53</v>
      </c>
      <c r="O180" s="1">
        <v>45505</v>
      </c>
      <c r="P180" s="1">
        <v>45535</v>
      </c>
      <c r="Q180" t="s">
        <v>419</v>
      </c>
    </row>
    <row r="181" spans="1:17">
      <c r="A181" t="s">
        <v>217</v>
      </c>
      <c r="B181" t="s">
        <v>25</v>
      </c>
      <c r="C181" s="1">
        <v>45629</v>
      </c>
      <c r="D181" t="s">
        <v>20</v>
      </c>
      <c r="E181" t="s">
        <v>21</v>
      </c>
      <c r="F181">
        <v>3711</v>
      </c>
      <c r="G181">
        <v>352</v>
      </c>
      <c r="H181">
        <v>290</v>
      </c>
      <c r="I181">
        <v>48243</v>
      </c>
      <c r="J181">
        <v>47579</v>
      </c>
      <c r="K181">
        <v>11</v>
      </c>
      <c r="L181" t="s">
        <v>371</v>
      </c>
      <c r="M181" t="s">
        <v>44</v>
      </c>
      <c r="N181">
        <v>9.02</v>
      </c>
      <c r="O181" s="1">
        <v>45667</v>
      </c>
      <c r="P181" s="1">
        <v>45698</v>
      </c>
      <c r="Q181" t="s">
        <v>419</v>
      </c>
    </row>
    <row r="182" spans="1:17">
      <c r="A182" t="s">
        <v>218</v>
      </c>
      <c r="B182" t="s">
        <v>25</v>
      </c>
      <c r="C182" s="1">
        <v>45737</v>
      </c>
      <c r="D182" t="s">
        <v>40</v>
      </c>
      <c r="E182" t="s">
        <v>41</v>
      </c>
      <c r="F182">
        <v>606</v>
      </c>
      <c r="G182">
        <v>789</v>
      </c>
      <c r="H182">
        <v>470</v>
      </c>
      <c r="I182">
        <v>7878</v>
      </c>
      <c r="J182">
        <v>7389</v>
      </c>
      <c r="K182">
        <v>239</v>
      </c>
      <c r="L182" t="s">
        <v>17</v>
      </c>
      <c r="M182" t="s">
        <v>23</v>
      </c>
      <c r="N182">
        <v>23.67</v>
      </c>
      <c r="O182" s="1">
        <v>45453</v>
      </c>
      <c r="P182" s="1">
        <v>45478</v>
      </c>
      <c r="Q182" t="s">
        <v>417</v>
      </c>
    </row>
    <row r="183" spans="1:17">
      <c r="A183" t="s">
        <v>219</v>
      </c>
      <c r="B183" t="s">
        <v>34</v>
      </c>
      <c r="C183" s="1">
        <v>45504</v>
      </c>
      <c r="D183" t="s">
        <v>40</v>
      </c>
      <c r="E183" t="s">
        <v>41</v>
      </c>
      <c r="F183">
        <v>4689</v>
      </c>
      <c r="G183">
        <v>134</v>
      </c>
      <c r="H183">
        <v>403</v>
      </c>
      <c r="I183">
        <v>51579</v>
      </c>
      <c r="J183">
        <v>50924</v>
      </c>
      <c r="K183">
        <v>173</v>
      </c>
      <c r="L183" t="s">
        <v>52</v>
      </c>
      <c r="M183" t="s">
        <v>18</v>
      </c>
      <c r="N183">
        <v>10.130000000000001</v>
      </c>
      <c r="O183" s="1">
        <v>45505</v>
      </c>
      <c r="P183" s="1">
        <v>45535</v>
      </c>
      <c r="Q183" t="s">
        <v>419</v>
      </c>
    </row>
    <row r="184" spans="1:17">
      <c r="A184" t="s">
        <v>220</v>
      </c>
      <c r="B184" t="s">
        <v>27</v>
      </c>
      <c r="C184" s="1">
        <v>45643</v>
      </c>
      <c r="D184" t="s">
        <v>28</v>
      </c>
      <c r="E184" t="s">
        <v>29</v>
      </c>
      <c r="F184">
        <v>360</v>
      </c>
      <c r="G184">
        <v>590</v>
      </c>
      <c r="H184">
        <v>393</v>
      </c>
      <c r="I184">
        <v>4680</v>
      </c>
      <c r="J184">
        <v>4322</v>
      </c>
      <c r="K184">
        <v>208</v>
      </c>
      <c r="L184" t="s">
        <v>371</v>
      </c>
      <c r="M184" t="s">
        <v>23</v>
      </c>
      <c r="N184">
        <v>28.7</v>
      </c>
      <c r="O184" s="1">
        <v>45453</v>
      </c>
      <c r="P184" s="1">
        <v>45478</v>
      </c>
      <c r="Q184" t="s">
        <v>417</v>
      </c>
    </row>
    <row r="185" spans="1:17">
      <c r="A185" t="s">
        <v>221</v>
      </c>
      <c r="B185" t="s">
        <v>14</v>
      </c>
      <c r="C185" s="1">
        <v>45501</v>
      </c>
      <c r="D185" t="s">
        <v>40</v>
      </c>
      <c r="E185" t="s">
        <v>41</v>
      </c>
      <c r="F185">
        <v>3215</v>
      </c>
      <c r="G185">
        <v>960</v>
      </c>
      <c r="H185">
        <v>202</v>
      </c>
      <c r="I185">
        <v>32150</v>
      </c>
      <c r="J185">
        <v>31404</v>
      </c>
      <c r="K185">
        <v>251</v>
      </c>
      <c r="L185" t="s">
        <v>31</v>
      </c>
      <c r="M185" t="s">
        <v>32</v>
      </c>
      <c r="N185">
        <v>13.61</v>
      </c>
      <c r="O185" s="1">
        <v>45570</v>
      </c>
      <c r="P185" s="1">
        <v>45601</v>
      </c>
      <c r="Q185" t="s">
        <v>419</v>
      </c>
    </row>
    <row r="186" spans="1:17">
      <c r="A186" t="s">
        <v>222</v>
      </c>
      <c r="B186" t="s">
        <v>27</v>
      </c>
      <c r="C186" s="1">
        <v>45668</v>
      </c>
      <c r="D186" t="s">
        <v>35</v>
      </c>
      <c r="E186" t="s">
        <v>36</v>
      </c>
      <c r="F186">
        <v>4523</v>
      </c>
      <c r="G186">
        <v>61</v>
      </c>
      <c r="H186">
        <v>157</v>
      </c>
      <c r="I186">
        <v>49753</v>
      </c>
      <c r="J186">
        <v>49329</v>
      </c>
      <c r="K186">
        <v>71</v>
      </c>
      <c r="L186" t="s">
        <v>365</v>
      </c>
      <c r="M186" t="s">
        <v>44</v>
      </c>
      <c r="N186">
        <v>9.5299999999999994</v>
      </c>
      <c r="O186" s="1">
        <v>45667</v>
      </c>
      <c r="P186" s="1">
        <v>45698</v>
      </c>
      <c r="Q186" t="s">
        <v>418</v>
      </c>
    </row>
    <row r="187" spans="1:17">
      <c r="A187" t="s">
        <v>223</v>
      </c>
      <c r="B187" t="s">
        <v>34</v>
      </c>
      <c r="C187" s="1">
        <v>45528</v>
      </c>
      <c r="D187" t="s">
        <v>35</v>
      </c>
      <c r="E187" t="s">
        <v>36</v>
      </c>
      <c r="F187">
        <v>4292</v>
      </c>
      <c r="G187">
        <v>51</v>
      </c>
      <c r="H187">
        <v>392</v>
      </c>
      <c r="I187">
        <v>55796</v>
      </c>
      <c r="J187">
        <v>54826</v>
      </c>
      <c r="K187">
        <v>264</v>
      </c>
      <c r="L187" t="s">
        <v>374</v>
      </c>
      <c r="M187" t="s">
        <v>18</v>
      </c>
      <c r="N187">
        <v>8.49</v>
      </c>
      <c r="O187" s="1">
        <v>45505</v>
      </c>
      <c r="P187" s="1">
        <v>45535</v>
      </c>
      <c r="Q187" t="s">
        <v>418</v>
      </c>
    </row>
    <row r="188" spans="1:17">
      <c r="A188" t="s">
        <v>224</v>
      </c>
      <c r="B188" t="s">
        <v>14</v>
      </c>
      <c r="C188" s="1">
        <v>45648</v>
      </c>
      <c r="D188" t="s">
        <v>15</v>
      </c>
      <c r="E188" t="s">
        <v>16</v>
      </c>
      <c r="F188">
        <v>1644</v>
      </c>
      <c r="G188">
        <v>546</v>
      </c>
      <c r="H188">
        <v>150</v>
      </c>
      <c r="I188">
        <v>27948</v>
      </c>
      <c r="J188">
        <v>27184</v>
      </c>
      <c r="K188">
        <v>300</v>
      </c>
      <c r="L188" t="s">
        <v>365</v>
      </c>
      <c r="M188" t="s">
        <v>18</v>
      </c>
      <c r="N188">
        <v>8.3699999999999992</v>
      </c>
      <c r="O188" s="1">
        <v>45505</v>
      </c>
      <c r="P188" s="1">
        <v>45535</v>
      </c>
      <c r="Q188" t="s">
        <v>417</v>
      </c>
    </row>
    <row r="189" spans="1:17">
      <c r="A189" t="s">
        <v>225</v>
      </c>
      <c r="B189" t="s">
        <v>25</v>
      </c>
      <c r="C189" s="1">
        <v>45449</v>
      </c>
      <c r="D189" t="s">
        <v>15</v>
      </c>
      <c r="E189" t="s">
        <v>16</v>
      </c>
      <c r="F189">
        <v>2728</v>
      </c>
      <c r="G189">
        <v>533</v>
      </c>
      <c r="H189">
        <v>215</v>
      </c>
      <c r="I189">
        <v>40920</v>
      </c>
      <c r="J189">
        <v>40816</v>
      </c>
      <c r="K189">
        <v>137</v>
      </c>
      <c r="L189" t="s">
        <v>17</v>
      </c>
      <c r="M189" t="s">
        <v>23</v>
      </c>
      <c r="N189">
        <v>8.49</v>
      </c>
      <c r="O189" s="1">
        <v>45453</v>
      </c>
      <c r="P189" s="1">
        <v>45478</v>
      </c>
      <c r="Q189" t="s">
        <v>419</v>
      </c>
    </row>
    <row r="190" spans="1:17">
      <c r="A190" t="s">
        <v>226</v>
      </c>
      <c r="B190" t="s">
        <v>34</v>
      </c>
      <c r="C190" s="1">
        <v>45740</v>
      </c>
      <c r="D190" t="s">
        <v>15</v>
      </c>
      <c r="E190" t="s">
        <v>16</v>
      </c>
      <c r="F190">
        <v>3360</v>
      </c>
      <c r="G190">
        <v>525</v>
      </c>
      <c r="H190">
        <v>500</v>
      </c>
      <c r="I190">
        <v>60480</v>
      </c>
      <c r="J190">
        <v>59610</v>
      </c>
      <c r="K190">
        <v>192</v>
      </c>
      <c r="L190" t="s">
        <v>363</v>
      </c>
      <c r="M190" t="s">
        <v>18</v>
      </c>
      <c r="N190">
        <v>7.25</v>
      </c>
      <c r="O190" s="1">
        <v>45505</v>
      </c>
      <c r="P190" s="1">
        <v>45535</v>
      </c>
      <c r="Q190" t="s">
        <v>417</v>
      </c>
    </row>
    <row r="191" spans="1:17">
      <c r="A191" t="s">
        <v>227</v>
      </c>
      <c r="B191" t="s">
        <v>25</v>
      </c>
      <c r="C191" s="1">
        <v>45569</v>
      </c>
      <c r="D191" t="s">
        <v>20</v>
      </c>
      <c r="E191" t="s">
        <v>21</v>
      </c>
      <c r="F191">
        <v>1963</v>
      </c>
      <c r="G191">
        <v>213</v>
      </c>
      <c r="H191">
        <v>19</v>
      </c>
      <c r="I191">
        <v>39260</v>
      </c>
      <c r="J191">
        <v>38771</v>
      </c>
      <c r="K191">
        <v>145</v>
      </c>
      <c r="L191" t="s">
        <v>31</v>
      </c>
      <c r="M191" t="s">
        <v>18</v>
      </c>
      <c r="N191">
        <v>5.59</v>
      </c>
      <c r="O191" s="1">
        <v>45505</v>
      </c>
      <c r="P191" s="1">
        <v>45535</v>
      </c>
      <c r="Q191" t="s">
        <v>417</v>
      </c>
    </row>
    <row r="192" spans="1:17">
      <c r="A192" t="s">
        <v>228</v>
      </c>
      <c r="B192" t="s">
        <v>25</v>
      </c>
      <c r="C192" s="1">
        <v>45629</v>
      </c>
      <c r="D192" t="s">
        <v>28</v>
      </c>
      <c r="E192" t="s">
        <v>29</v>
      </c>
      <c r="F192">
        <v>4285</v>
      </c>
      <c r="G192">
        <v>886</v>
      </c>
      <c r="H192">
        <v>376</v>
      </c>
      <c r="I192">
        <v>55705</v>
      </c>
      <c r="J192">
        <v>55556</v>
      </c>
      <c r="K192">
        <v>51</v>
      </c>
      <c r="L192" t="s">
        <v>361</v>
      </c>
      <c r="M192" t="s">
        <v>44</v>
      </c>
      <c r="N192">
        <v>9.9600000000000009</v>
      </c>
      <c r="O192" s="1">
        <v>45667</v>
      </c>
      <c r="P192" s="1">
        <v>45698</v>
      </c>
      <c r="Q192" t="s">
        <v>419</v>
      </c>
    </row>
    <row r="193" spans="1:17">
      <c r="A193" t="s">
        <v>229</v>
      </c>
      <c r="B193" t="s">
        <v>27</v>
      </c>
      <c r="C193" s="1">
        <v>45625</v>
      </c>
      <c r="D193" t="s">
        <v>50</v>
      </c>
      <c r="E193" t="s">
        <v>51</v>
      </c>
      <c r="F193">
        <v>1176</v>
      </c>
      <c r="G193">
        <v>464</v>
      </c>
      <c r="H193">
        <v>394</v>
      </c>
      <c r="I193">
        <v>14112</v>
      </c>
      <c r="J193">
        <v>13588</v>
      </c>
      <c r="K193">
        <v>272</v>
      </c>
      <c r="L193" t="s">
        <v>52</v>
      </c>
      <c r="M193" t="s">
        <v>18</v>
      </c>
      <c r="N193">
        <v>14.41</v>
      </c>
      <c r="O193" s="1">
        <v>45505</v>
      </c>
      <c r="P193" s="1">
        <v>45535</v>
      </c>
      <c r="Q193" t="s">
        <v>417</v>
      </c>
    </row>
    <row r="194" spans="1:17">
      <c r="A194" t="s">
        <v>230</v>
      </c>
      <c r="B194" t="s">
        <v>14</v>
      </c>
      <c r="C194" s="1">
        <v>45546</v>
      </c>
      <c r="D194" t="s">
        <v>40</v>
      </c>
      <c r="E194" t="s">
        <v>41</v>
      </c>
      <c r="F194">
        <v>4858</v>
      </c>
      <c r="G194">
        <v>317</v>
      </c>
      <c r="H194">
        <v>129</v>
      </c>
      <c r="I194">
        <v>53438</v>
      </c>
      <c r="J194">
        <v>52687</v>
      </c>
      <c r="K194">
        <v>223</v>
      </c>
      <c r="L194" t="s">
        <v>372</v>
      </c>
      <c r="M194" t="s">
        <v>18</v>
      </c>
      <c r="N194">
        <v>9.93</v>
      </c>
      <c r="O194" s="1">
        <v>45505</v>
      </c>
      <c r="P194" s="1">
        <v>45535</v>
      </c>
      <c r="Q194" t="s">
        <v>417</v>
      </c>
    </row>
    <row r="195" spans="1:17">
      <c r="A195" t="s">
        <v>231</v>
      </c>
      <c r="B195" t="s">
        <v>25</v>
      </c>
      <c r="C195" s="1">
        <v>45567</v>
      </c>
      <c r="D195" t="s">
        <v>28</v>
      </c>
      <c r="E195" t="s">
        <v>29</v>
      </c>
      <c r="F195">
        <v>4350</v>
      </c>
      <c r="G195">
        <v>771</v>
      </c>
      <c r="H195">
        <v>7</v>
      </c>
      <c r="I195">
        <v>60900</v>
      </c>
      <c r="J195">
        <v>60592</v>
      </c>
      <c r="K195">
        <v>195</v>
      </c>
      <c r="L195" t="s">
        <v>375</v>
      </c>
      <c r="M195" t="s">
        <v>23</v>
      </c>
      <c r="N195">
        <v>8.42</v>
      </c>
      <c r="O195" s="1">
        <v>45453</v>
      </c>
      <c r="P195" s="1">
        <v>45478</v>
      </c>
      <c r="Q195" t="s">
        <v>417</v>
      </c>
    </row>
    <row r="196" spans="1:17">
      <c r="A196" t="s">
        <v>232</v>
      </c>
      <c r="B196" t="s">
        <v>27</v>
      </c>
      <c r="C196" s="1">
        <v>45519</v>
      </c>
      <c r="D196" t="s">
        <v>35</v>
      </c>
      <c r="E196" t="s">
        <v>36</v>
      </c>
      <c r="F196">
        <v>914</v>
      </c>
      <c r="G196">
        <v>464</v>
      </c>
      <c r="H196">
        <v>246</v>
      </c>
      <c r="I196">
        <v>11882</v>
      </c>
      <c r="J196">
        <v>11500</v>
      </c>
      <c r="K196">
        <v>282</v>
      </c>
      <c r="L196" t="s">
        <v>376</v>
      </c>
      <c r="M196" t="s">
        <v>32</v>
      </c>
      <c r="N196">
        <v>13.67</v>
      </c>
      <c r="O196" s="1">
        <v>45570</v>
      </c>
      <c r="P196" s="1">
        <v>45601</v>
      </c>
      <c r="Q196" t="s">
        <v>419</v>
      </c>
    </row>
    <row r="197" spans="1:17">
      <c r="A197" t="s">
        <v>233</v>
      </c>
      <c r="B197" t="s">
        <v>27</v>
      </c>
      <c r="C197" s="1">
        <v>45645</v>
      </c>
      <c r="D197" t="s">
        <v>20</v>
      </c>
      <c r="E197" t="s">
        <v>21</v>
      </c>
      <c r="F197">
        <v>1813</v>
      </c>
      <c r="G197">
        <v>623</v>
      </c>
      <c r="H197">
        <v>72</v>
      </c>
      <c r="I197">
        <v>19943</v>
      </c>
      <c r="J197">
        <v>18959</v>
      </c>
      <c r="K197">
        <v>85</v>
      </c>
      <c r="L197" t="s">
        <v>366</v>
      </c>
      <c r="M197" t="s">
        <v>32</v>
      </c>
      <c r="N197">
        <v>12.58</v>
      </c>
      <c r="O197" s="1">
        <v>45570</v>
      </c>
      <c r="P197" s="1">
        <v>45601</v>
      </c>
      <c r="Q197" t="s">
        <v>417</v>
      </c>
    </row>
    <row r="198" spans="1:17">
      <c r="A198" t="s">
        <v>234</v>
      </c>
      <c r="B198" t="s">
        <v>14</v>
      </c>
      <c r="C198" s="1">
        <v>45587</v>
      </c>
      <c r="D198" t="s">
        <v>15</v>
      </c>
      <c r="E198" t="s">
        <v>16</v>
      </c>
      <c r="F198">
        <v>4782</v>
      </c>
      <c r="G198">
        <v>721</v>
      </c>
      <c r="H198">
        <v>82</v>
      </c>
      <c r="I198">
        <v>86076</v>
      </c>
      <c r="J198">
        <v>85339</v>
      </c>
      <c r="K198">
        <v>19</v>
      </c>
      <c r="L198" t="s">
        <v>52</v>
      </c>
      <c r="M198" t="s">
        <v>23</v>
      </c>
      <c r="N198">
        <v>6.49</v>
      </c>
      <c r="O198" s="1">
        <v>45453</v>
      </c>
      <c r="P198" s="1">
        <v>45478</v>
      </c>
      <c r="Q198" t="s">
        <v>417</v>
      </c>
    </row>
    <row r="199" spans="1:17">
      <c r="A199" t="s">
        <v>235</v>
      </c>
      <c r="B199" t="s">
        <v>14</v>
      </c>
      <c r="C199" s="1">
        <v>45549</v>
      </c>
      <c r="D199" t="s">
        <v>40</v>
      </c>
      <c r="E199" t="s">
        <v>41</v>
      </c>
      <c r="F199">
        <v>1048</v>
      </c>
      <c r="G199">
        <v>374</v>
      </c>
      <c r="H199">
        <v>450</v>
      </c>
      <c r="I199">
        <v>9432</v>
      </c>
      <c r="J199">
        <v>8882</v>
      </c>
      <c r="K199">
        <v>158</v>
      </c>
      <c r="L199" t="s">
        <v>373</v>
      </c>
      <c r="M199" t="s">
        <v>23</v>
      </c>
      <c r="N199">
        <v>19.850000000000001</v>
      </c>
      <c r="O199" s="1">
        <v>45453</v>
      </c>
      <c r="P199" s="1">
        <v>45478</v>
      </c>
      <c r="Q199" t="s">
        <v>417</v>
      </c>
    </row>
    <row r="200" spans="1:17">
      <c r="A200" t="s">
        <v>236</v>
      </c>
      <c r="B200" t="s">
        <v>25</v>
      </c>
      <c r="C200" s="1">
        <v>45626</v>
      </c>
      <c r="D200" t="s">
        <v>35</v>
      </c>
      <c r="E200" t="s">
        <v>36</v>
      </c>
      <c r="F200">
        <v>2509</v>
      </c>
      <c r="G200">
        <v>324</v>
      </c>
      <c r="H200">
        <v>171</v>
      </c>
      <c r="I200">
        <v>35126</v>
      </c>
      <c r="J200">
        <v>34685</v>
      </c>
      <c r="K200">
        <v>277</v>
      </c>
      <c r="L200" t="s">
        <v>52</v>
      </c>
      <c r="M200" t="s">
        <v>23</v>
      </c>
      <c r="N200">
        <v>8.5500000000000007</v>
      </c>
      <c r="O200" s="1">
        <v>45453</v>
      </c>
      <c r="P200" s="1">
        <v>45478</v>
      </c>
      <c r="Q200" t="s">
        <v>417</v>
      </c>
    </row>
    <row r="201" spans="1:17">
      <c r="A201" t="s">
        <v>237</v>
      </c>
      <c r="B201" t="s">
        <v>34</v>
      </c>
      <c r="C201" s="1">
        <v>45754</v>
      </c>
      <c r="D201" t="s">
        <v>15</v>
      </c>
      <c r="E201" t="s">
        <v>16</v>
      </c>
      <c r="F201">
        <v>3718</v>
      </c>
      <c r="G201">
        <v>385</v>
      </c>
      <c r="H201">
        <v>310</v>
      </c>
      <c r="I201">
        <v>70642</v>
      </c>
      <c r="J201">
        <v>69749</v>
      </c>
      <c r="K201">
        <v>233</v>
      </c>
      <c r="L201" t="s">
        <v>37</v>
      </c>
      <c r="M201" t="s">
        <v>18</v>
      </c>
      <c r="N201">
        <v>6.25</v>
      </c>
      <c r="O201" s="1">
        <v>45505</v>
      </c>
      <c r="P201" s="1">
        <v>45535</v>
      </c>
      <c r="Q201" t="s">
        <v>417</v>
      </c>
    </row>
    <row r="202" spans="1:17">
      <c r="A202" t="s">
        <v>238</v>
      </c>
      <c r="B202" t="s">
        <v>14</v>
      </c>
      <c r="C202" s="1">
        <v>45672</v>
      </c>
      <c r="D202" t="s">
        <v>15</v>
      </c>
      <c r="E202" t="s">
        <v>16</v>
      </c>
      <c r="F202">
        <v>802</v>
      </c>
      <c r="G202">
        <v>262</v>
      </c>
      <c r="H202">
        <v>244</v>
      </c>
      <c r="I202">
        <v>14436</v>
      </c>
      <c r="J202">
        <v>14280</v>
      </c>
      <c r="K202">
        <v>49</v>
      </c>
      <c r="L202" t="s">
        <v>362</v>
      </c>
      <c r="M202" t="s">
        <v>44</v>
      </c>
      <c r="N202">
        <v>9.06</v>
      </c>
      <c r="O202" s="1">
        <v>45667</v>
      </c>
      <c r="P202" s="1">
        <v>45698</v>
      </c>
      <c r="Q202" t="s">
        <v>418</v>
      </c>
    </row>
    <row r="203" spans="1:17">
      <c r="A203" t="s">
        <v>239</v>
      </c>
      <c r="B203" t="s">
        <v>34</v>
      </c>
      <c r="C203" s="1">
        <v>45445</v>
      </c>
      <c r="D203" t="s">
        <v>40</v>
      </c>
      <c r="E203" t="s">
        <v>41</v>
      </c>
      <c r="F203">
        <v>1871</v>
      </c>
      <c r="G203">
        <v>252</v>
      </c>
      <c r="H203">
        <v>335</v>
      </c>
      <c r="I203">
        <v>29936</v>
      </c>
      <c r="J203">
        <v>29576</v>
      </c>
      <c r="K203">
        <v>288</v>
      </c>
      <c r="L203" t="s">
        <v>37</v>
      </c>
      <c r="M203" t="s">
        <v>23</v>
      </c>
      <c r="N203">
        <v>8.2100000000000009</v>
      </c>
      <c r="O203" s="1">
        <v>45453</v>
      </c>
      <c r="P203" s="1">
        <v>45478</v>
      </c>
      <c r="Q203" t="s">
        <v>419</v>
      </c>
    </row>
    <row r="204" spans="1:17">
      <c r="A204" t="s">
        <v>240</v>
      </c>
      <c r="B204" t="s">
        <v>27</v>
      </c>
      <c r="C204" s="1">
        <v>45617</v>
      </c>
      <c r="D204" t="s">
        <v>35</v>
      </c>
      <c r="E204" t="s">
        <v>36</v>
      </c>
      <c r="F204">
        <v>3773</v>
      </c>
      <c r="G204">
        <v>299</v>
      </c>
      <c r="H204">
        <v>38</v>
      </c>
      <c r="I204">
        <v>71687</v>
      </c>
      <c r="J204">
        <v>71447</v>
      </c>
      <c r="K204">
        <v>286</v>
      </c>
      <c r="L204" t="s">
        <v>37</v>
      </c>
      <c r="M204" t="s">
        <v>44</v>
      </c>
      <c r="N204">
        <v>5.73</v>
      </c>
      <c r="O204" s="1">
        <v>45667</v>
      </c>
      <c r="P204" s="1">
        <v>45698</v>
      </c>
      <c r="Q204" t="s">
        <v>419</v>
      </c>
    </row>
    <row r="205" spans="1:17">
      <c r="A205" t="s">
        <v>241</v>
      </c>
      <c r="B205" t="s">
        <v>27</v>
      </c>
      <c r="C205" s="1">
        <v>45658</v>
      </c>
      <c r="D205" t="s">
        <v>35</v>
      </c>
      <c r="E205" t="s">
        <v>36</v>
      </c>
      <c r="F205">
        <v>2234</v>
      </c>
      <c r="G205">
        <v>653</v>
      </c>
      <c r="H205">
        <v>432</v>
      </c>
      <c r="I205">
        <v>11170</v>
      </c>
      <c r="J205">
        <v>10569</v>
      </c>
      <c r="K205">
        <v>198</v>
      </c>
      <c r="L205" t="s">
        <v>375</v>
      </c>
      <c r="M205" t="s">
        <v>44</v>
      </c>
      <c r="N205">
        <v>29.71</v>
      </c>
      <c r="O205" s="1">
        <v>45667</v>
      </c>
      <c r="P205" s="1">
        <v>45698</v>
      </c>
      <c r="Q205" t="s">
        <v>419</v>
      </c>
    </row>
    <row r="206" spans="1:17">
      <c r="A206" t="s">
        <v>242</v>
      </c>
      <c r="B206" t="s">
        <v>14</v>
      </c>
      <c r="C206" s="1">
        <v>45771</v>
      </c>
      <c r="D206" t="s">
        <v>50</v>
      </c>
      <c r="E206" t="s">
        <v>51</v>
      </c>
      <c r="F206">
        <v>3820</v>
      </c>
      <c r="G206">
        <v>697</v>
      </c>
      <c r="H206">
        <v>268</v>
      </c>
      <c r="I206">
        <v>45840</v>
      </c>
      <c r="J206">
        <v>45631</v>
      </c>
      <c r="K206">
        <v>171</v>
      </c>
      <c r="L206" t="s">
        <v>371</v>
      </c>
      <c r="M206" t="s">
        <v>18</v>
      </c>
      <c r="N206">
        <v>10.44</v>
      </c>
      <c r="O206" s="1">
        <v>45505</v>
      </c>
      <c r="P206" s="1">
        <v>45535</v>
      </c>
      <c r="Q206" t="s">
        <v>417</v>
      </c>
    </row>
    <row r="207" spans="1:17">
      <c r="A207" t="s">
        <v>243</v>
      </c>
      <c r="B207" t="s">
        <v>14</v>
      </c>
      <c r="C207" s="1">
        <v>45467</v>
      </c>
      <c r="D207" t="s">
        <v>20</v>
      </c>
      <c r="E207" t="s">
        <v>21</v>
      </c>
      <c r="F207">
        <v>941</v>
      </c>
      <c r="G207">
        <v>121</v>
      </c>
      <c r="H207">
        <v>458</v>
      </c>
      <c r="I207">
        <v>14115</v>
      </c>
      <c r="J207">
        <v>13838</v>
      </c>
      <c r="K207">
        <v>87</v>
      </c>
      <c r="L207" t="s">
        <v>357</v>
      </c>
      <c r="M207" t="s">
        <v>23</v>
      </c>
      <c r="N207">
        <v>10.77</v>
      </c>
      <c r="O207" s="1">
        <v>45453</v>
      </c>
      <c r="P207" s="1">
        <v>45478</v>
      </c>
      <c r="Q207" t="s">
        <v>418</v>
      </c>
    </row>
    <row r="208" spans="1:17">
      <c r="A208" t="s">
        <v>244</v>
      </c>
      <c r="B208" t="s">
        <v>14</v>
      </c>
      <c r="C208" s="1">
        <v>45655</v>
      </c>
      <c r="D208" t="s">
        <v>35</v>
      </c>
      <c r="E208" t="s">
        <v>36</v>
      </c>
      <c r="F208">
        <v>4274</v>
      </c>
      <c r="G208">
        <v>340</v>
      </c>
      <c r="H208">
        <v>281</v>
      </c>
      <c r="I208">
        <v>34192</v>
      </c>
      <c r="J208">
        <v>33446</v>
      </c>
      <c r="K208">
        <v>129</v>
      </c>
      <c r="L208" t="s">
        <v>371</v>
      </c>
      <c r="M208" t="s">
        <v>32</v>
      </c>
      <c r="N208">
        <v>14.32</v>
      </c>
      <c r="O208" s="1">
        <v>45570</v>
      </c>
      <c r="P208" s="1">
        <v>45601</v>
      </c>
      <c r="Q208" t="s">
        <v>417</v>
      </c>
    </row>
    <row r="209" spans="1:17">
      <c r="A209" t="s">
        <v>245</v>
      </c>
      <c r="B209" t="s">
        <v>25</v>
      </c>
      <c r="C209" s="1">
        <v>45467</v>
      </c>
      <c r="D209" t="s">
        <v>50</v>
      </c>
      <c r="E209" t="s">
        <v>51</v>
      </c>
      <c r="F209">
        <v>2949</v>
      </c>
      <c r="G209">
        <v>476</v>
      </c>
      <c r="H209">
        <v>403</v>
      </c>
      <c r="I209">
        <v>44235</v>
      </c>
      <c r="J209">
        <v>43705</v>
      </c>
      <c r="K209">
        <v>135</v>
      </c>
      <c r="L209" t="s">
        <v>367</v>
      </c>
      <c r="M209" t="s">
        <v>18</v>
      </c>
      <c r="N209">
        <v>8.65</v>
      </c>
      <c r="O209" s="1">
        <v>45505</v>
      </c>
      <c r="P209" s="1">
        <v>45535</v>
      </c>
      <c r="Q209" t="s">
        <v>419</v>
      </c>
    </row>
    <row r="210" spans="1:17">
      <c r="A210" t="s">
        <v>246</v>
      </c>
      <c r="B210" t="s">
        <v>14</v>
      </c>
      <c r="C210" s="1">
        <v>45735</v>
      </c>
      <c r="D210" t="s">
        <v>50</v>
      </c>
      <c r="E210" t="s">
        <v>51</v>
      </c>
      <c r="F210">
        <v>3160</v>
      </c>
      <c r="G210">
        <v>204</v>
      </c>
      <c r="H210">
        <v>297</v>
      </c>
      <c r="I210">
        <v>44240</v>
      </c>
      <c r="J210">
        <v>43666</v>
      </c>
      <c r="K210">
        <v>49</v>
      </c>
      <c r="L210" t="s">
        <v>364</v>
      </c>
      <c r="M210" t="s">
        <v>18</v>
      </c>
      <c r="N210">
        <v>8.2799999999999994</v>
      </c>
      <c r="O210" s="1">
        <v>45505</v>
      </c>
      <c r="P210" s="1">
        <v>45535</v>
      </c>
      <c r="Q210" t="s">
        <v>417</v>
      </c>
    </row>
    <row r="211" spans="1:17">
      <c r="A211" t="s">
        <v>247</v>
      </c>
      <c r="B211" t="s">
        <v>25</v>
      </c>
      <c r="C211" s="1">
        <v>45707</v>
      </c>
      <c r="D211" t="s">
        <v>40</v>
      </c>
      <c r="E211" t="s">
        <v>41</v>
      </c>
      <c r="F211">
        <v>257</v>
      </c>
      <c r="G211">
        <v>966</v>
      </c>
      <c r="H211">
        <v>398</v>
      </c>
      <c r="I211">
        <v>3341</v>
      </c>
      <c r="J211">
        <v>2753</v>
      </c>
      <c r="K211">
        <v>287</v>
      </c>
      <c r="L211" t="s">
        <v>373</v>
      </c>
      <c r="M211" t="s">
        <v>18</v>
      </c>
      <c r="N211">
        <v>48.52</v>
      </c>
      <c r="O211" s="1">
        <v>45505</v>
      </c>
      <c r="P211" s="1">
        <v>45535</v>
      </c>
      <c r="Q211" t="s">
        <v>417</v>
      </c>
    </row>
    <row r="212" spans="1:17">
      <c r="A212" t="s">
        <v>248</v>
      </c>
      <c r="B212" t="s">
        <v>14</v>
      </c>
      <c r="C212" s="1">
        <v>45491</v>
      </c>
      <c r="D212" t="s">
        <v>35</v>
      </c>
      <c r="E212" t="s">
        <v>36</v>
      </c>
      <c r="F212">
        <v>2120</v>
      </c>
      <c r="G212">
        <v>38</v>
      </c>
      <c r="H212">
        <v>212</v>
      </c>
      <c r="I212">
        <v>12720</v>
      </c>
      <c r="J212">
        <v>12564</v>
      </c>
      <c r="K212">
        <v>21</v>
      </c>
      <c r="L212" t="s">
        <v>373</v>
      </c>
      <c r="M212" t="s">
        <v>18</v>
      </c>
      <c r="N212">
        <v>18.63</v>
      </c>
      <c r="O212" s="1">
        <v>45505</v>
      </c>
      <c r="P212" s="1">
        <v>45535</v>
      </c>
      <c r="Q212" t="s">
        <v>419</v>
      </c>
    </row>
    <row r="213" spans="1:17">
      <c r="A213" t="s">
        <v>249</v>
      </c>
      <c r="B213" t="s">
        <v>25</v>
      </c>
      <c r="C213" s="1">
        <v>45719</v>
      </c>
      <c r="D213" t="s">
        <v>50</v>
      </c>
      <c r="E213" t="s">
        <v>51</v>
      </c>
      <c r="F213">
        <v>3874</v>
      </c>
      <c r="G213">
        <v>884</v>
      </c>
      <c r="H213">
        <v>19</v>
      </c>
      <c r="I213">
        <v>38740</v>
      </c>
      <c r="J213">
        <v>38552</v>
      </c>
      <c r="K213">
        <v>219</v>
      </c>
      <c r="L213" t="s">
        <v>31</v>
      </c>
      <c r="M213" t="s">
        <v>44</v>
      </c>
      <c r="N213">
        <v>12.33</v>
      </c>
      <c r="O213" s="1">
        <v>45667</v>
      </c>
      <c r="P213" s="1">
        <v>45698</v>
      </c>
      <c r="Q213" t="s">
        <v>417</v>
      </c>
    </row>
    <row r="214" spans="1:17">
      <c r="A214" t="s">
        <v>250</v>
      </c>
      <c r="B214" t="s">
        <v>34</v>
      </c>
      <c r="C214" s="1">
        <v>45778</v>
      </c>
      <c r="D214" t="s">
        <v>35</v>
      </c>
      <c r="E214" t="s">
        <v>36</v>
      </c>
      <c r="F214">
        <v>2696</v>
      </c>
      <c r="G214">
        <v>628</v>
      </c>
      <c r="H214">
        <v>443</v>
      </c>
      <c r="I214">
        <v>45832</v>
      </c>
      <c r="J214">
        <v>45632</v>
      </c>
      <c r="K214">
        <v>248</v>
      </c>
      <c r="L214" t="s">
        <v>17</v>
      </c>
      <c r="M214" t="s">
        <v>32</v>
      </c>
      <c r="N214">
        <v>8.2200000000000006</v>
      </c>
      <c r="O214" s="1">
        <v>45570</v>
      </c>
      <c r="P214" s="1">
        <v>45601</v>
      </c>
      <c r="Q214" t="s">
        <v>417</v>
      </c>
    </row>
    <row r="215" spans="1:17">
      <c r="A215" t="s">
        <v>251</v>
      </c>
      <c r="B215" t="s">
        <v>27</v>
      </c>
      <c r="C215" s="1">
        <v>45649</v>
      </c>
      <c r="D215" t="s">
        <v>40</v>
      </c>
      <c r="E215" t="s">
        <v>41</v>
      </c>
      <c r="F215">
        <v>521</v>
      </c>
      <c r="G215">
        <v>746</v>
      </c>
      <c r="H215">
        <v>315</v>
      </c>
      <c r="I215">
        <v>4168</v>
      </c>
      <c r="J215">
        <v>3399</v>
      </c>
      <c r="K215">
        <v>282</v>
      </c>
      <c r="L215" t="s">
        <v>17</v>
      </c>
      <c r="M215" t="s">
        <v>18</v>
      </c>
      <c r="N215">
        <v>37.96</v>
      </c>
      <c r="O215" s="1">
        <v>45505</v>
      </c>
      <c r="P215" s="1">
        <v>45535</v>
      </c>
      <c r="Q215" t="s">
        <v>417</v>
      </c>
    </row>
    <row r="216" spans="1:17">
      <c r="A216" t="s">
        <v>252</v>
      </c>
      <c r="B216" t="s">
        <v>34</v>
      </c>
      <c r="C216" s="1">
        <v>45783</v>
      </c>
      <c r="D216" t="s">
        <v>40</v>
      </c>
      <c r="E216" t="s">
        <v>41</v>
      </c>
      <c r="F216">
        <v>4872</v>
      </c>
      <c r="G216">
        <v>925</v>
      </c>
      <c r="H216">
        <v>176</v>
      </c>
      <c r="I216">
        <v>82824</v>
      </c>
      <c r="J216">
        <v>82543</v>
      </c>
      <c r="K216">
        <v>89</v>
      </c>
      <c r="L216" t="s">
        <v>365</v>
      </c>
      <c r="M216" t="s">
        <v>18</v>
      </c>
      <c r="N216">
        <v>7.21</v>
      </c>
      <c r="O216" s="1">
        <v>45505</v>
      </c>
      <c r="P216" s="1">
        <v>45535</v>
      </c>
      <c r="Q216" t="s">
        <v>417</v>
      </c>
    </row>
    <row r="217" spans="1:17">
      <c r="A217" t="s">
        <v>253</v>
      </c>
      <c r="B217" t="s">
        <v>25</v>
      </c>
      <c r="C217" s="1">
        <v>45502</v>
      </c>
      <c r="D217" t="s">
        <v>28</v>
      </c>
      <c r="E217" t="s">
        <v>29</v>
      </c>
      <c r="F217">
        <v>1509</v>
      </c>
      <c r="G217">
        <v>88</v>
      </c>
      <c r="H217">
        <v>163</v>
      </c>
      <c r="I217">
        <v>30180</v>
      </c>
      <c r="J217">
        <v>29689</v>
      </c>
      <c r="K217">
        <v>119</v>
      </c>
      <c r="L217" t="s">
        <v>37</v>
      </c>
      <c r="M217" t="s">
        <v>18</v>
      </c>
      <c r="N217">
        <v>5.83</v>
      </c>
      <c r="O217" s="1">
        <v>45505</v>
      </c>
      <c r="P217" s="1">
        <v>45535</v>
      </c>
      <c r="Q217" t="s">
        <v>419</v>
      </c>
    </row>
    <row r="218" spans="1:17">
      <c r="A218" t="s">
        <v>254</v>
      </c>
      <c r="B218" t="s">
        <v>34</v>
      </c>
      <c r="C218" s="1">
        <v>45629</v>
      </c>
      <c r="D218" t="s">
        <v>40</v>
      </c>
      <c r="E218" t="s">
        <v>41</v>
      </c>
      <c r="F218">
        <v>4606</v>
      </c>
      <c r="G218">
        <v>931</v>
      </c>
      <c r="H218">
        <v>230</v>
      </c>
      <c r="I218">
        <v>92120</v>
      </c>
      <c r="J218">
        <v>91440</v>
      </c>
      <c r="K218">
        <v>56</v>
      </c>
      <c r="L218" t="s">
        <v>369</v>
      </c>
      <c r="M218" t="s">
        <v>32</v>
      </c>
      <c r="N218">
        <v>6.26</v>
      </c>
      <c r="O218" s="1">
        <v>45570</v>
      </c>
      <c r="P218" s="1">
        <v>45601</v>
      </c>
      <c r="Q218" t="s">
        <v>417</v>
      </c>
    </row>
    <row r="219" spans="1:17">
      <c r="A219" t="s">
        <v>255</v>
      </c>
      <c r="B219" t="s">
        <v>34</v>
      </c>
      <c r="C219" s="1">
        <v>45454</v>
      </c>
      <c r="D219" t="s">
        <v>35</v>
      </c>
      <c r="E219" t="s">
        <v>36</v>
      </c>
      <c r="F219">
        <v>1869</v>
      </c>
      <c r="G219">
        <v>453</v>
      </c>
      <c r="H219">
        <v>490</v>
      </c>
      <c r="I219">
        <v>14952</v>
      </c>
      <c r="J219">
        <v>14309</v>
      </c>
      <c r="K219">
        <v>275</v>
      </c>
      <c r="L219" t="s">
        <v>375</v>
      </c>
      <c r="M219" t="s">
        <v>18</v>
      </c>
      <c r="N219">
        <v>18.809999999999999</v>
      </c>
      <c r="O219" s="1">
        <v>45505</v>
      </c>
      <c r="P219" s="1">
        <v>45535</v>
      </c>
      <c r="Q219" t="s">
        <v>419</v>
      </c>
    </row>
    <row r="220" spans="1:17">
      <c r="A220" t="s">
        <v>256</v>
      </c>
      <c r="B220" t="s">
        <v>14</v>
      </c>
      <c r="C220" s="1">
        <v>45685</v>
      </c>
      <c r="D220" t="s">
        <v>15</v>
      </c>
      <c r="E220" t="s">
        <v>16</v>
      </c>
      <c r="F220">
        <v>1188</v>
      </c>
      <c r="G220">
        <v>470</v>
      </c>
      <c r="H220">
        <v>174</v>
      </c>
      <c r="I220">
        <v>7128</v>
      </c>
      <c r="J220">
        <v>6145</v>
      </c>
      <c r="K220">
        <v>270</v>
      </c>
      <c r="L220" t="s">
        <v>358</v>
      </c>
      <c r="M220" t="s">
        <v>23</v>
      </c>
      <c r="N220">
        <v>25.7</v>
      </c>
      <c r="O220" s="1">
        <v>45453</v>
      </c>
      <c r="P220" s="1">
        <v>45478</v>
      </c>
      <c r="Q220" t="s">
        <v>417</v>
      </c>
    </row>
    <row r="221" spans="1:17">
      <c r="A221" t="s">
        <v>257</v>
      </c>
      <c r="B221" t="s">
        <v>27</v>
      </c>
      <c r="C221" s="1">
        <v>45445</v>
      </c>
      <c r="D221" t="s">
        <v>28</v>
      </c>
      <c r="E221" t="s">
        <v>29</v>
      </c>
      <c r="F221">
        <v>84</v>
      </c>
      <c r="G221">
        <v>897</v>
      </c>
      <c r="H221">
        <v>85</v>
      </c>
      <c r="I221">
        <v>588</v>
      </c>
      <c r="J221">
        <v>8</v>
      </c>
      <c r="K221">
        <v>12</v>
      </c>
      <c r="L221" t="s">
        <v>31</v>
      </c>
      <c r="M221" t="s">
        <v>23</v>
      </c>
      <c r="N221">
        <v>181.29</v>
      </c>
      <c r="O221" s="1">
        <v>45453</v>
      </c>
      <c r="P221" s="1">
        <v>45478</v>
      </c>
      <c r="Q221" t="s">
        <v>419</v>
      </c>
    </row>
    <row r="222" spans="1:17">
      <c r="A222" t="s">
        <v>258</v>
      </c>
      <c r="B222" t="s">
        <v>34</v>
      </c>
      <c r="C222" s="1">
        <v>45739</v>
      </c>
      <c r="D222" t="s">
        <v>50</v>
      </c>
      <c r="E222" t="s">
        <v>51</v>
      </c>
      <c r="F222">
        <v>4453</v>
      </c>
      <c r="G222">
        <v>111</v>
      </c>
      <c r="H222">
        <v>420</v>
      </c>
      <c r="I222">
        <v>31171</v>
      </c>
      <c r="J222">
        <v>30565</v>
      </c>
      <c r="K222">
        <v>23</v>
      </c>
      <c r="L222" t="s">
        <v>366</v>
      </c>
      <c r="M222" t="s">
        <v>44</v>
      </c>
      <c r="N222">
        <v>15.99</v>
      </c>
      <c r="O222" s="1">
        <v>45667</v>
      </c>
      <c r="P222" s="1">
        <v>45698</v>
      </c>
      <c r="Q222" t="s">
        <v>417</v>
      </c>
    </row>
    <row r="223" spans="1:17">
      <c r="A223" t="s">
        <v>259</v>
      </c>
      <c r="B223" t="s">
        <v>34</v>
      </c>
      <c r="C223" s="1">
        <v>45573</v>
      </c>
      <c r="D223" t="s">
        <v>15</v>
      </c>
      <c r="E223" t="s">
        <v>16</v>
      </c>
      <c r="F223">
        <v>1814</v>
      </c>
      <c r="G223">
        <v>653</v>
      </c>
      <c r="H223">
        <v>363</v>
      </c>
      <c r="I223">
        <v>25396</v>
      </c>
      <c r="J223">
        <v>25286</v>
      </c>
      <c r="K223">
        <v>39</v>
      </c>
      <c r="L223" t="s">
        <v>31</v>
      </c>
      <c r="M223" t="s">
        <v>18</v>
      </c>
      <c r="N223">
        <v>11.14</v>
      </c>
      <c r="O223" s="1">
        <v>45505</v>
      </c>
      <c r="P223" s="1">
        <v>45535</v>
      </c>
      <c r="Q223" t="s">
        <v>417</v>
      </c>
    </row>
    <row r="224" spans="1:17">
      <c r="A224" t="s">
        <v>260</v>
      </c>
      <c r="B224" t="s">
        <v>14</v>
      </c>
      <c r="C224" s="1">
        <v>45608</v>
      </c>
      <c r="D224" t="s">
        <v>40</v>
      </c>
      <c r="E224" t="s">
        <v>41</v>
      </c>
      <c r="F224">
        <v>3338</v>
      </c>
      <c r="G224">
        <v>277</v>
      </c>
      <c r="H224">
        <v>118</v>
      </c>
      <c r="I224">
        <v>60084</v>
      </c>
      <c r="J224">
        <v>59842</v>
      </c>
      <c r="K224">
        <v>252</v>
      </c>
      <c r="L224" t="s">
        <v>31</v>
      </c>
      <c r="M224" t="s">
        <v>18</v>
      </c>
      <c r="N224">
        <v>6.21</v>
      </c>
      <c r="O224" s="1">
        <v>45505</v>
      </c>
      <c r="P224" s="1">
        <v>45535</v>
      </c>
      <c r="Q224" t="s">
        <v>417</v>
      </c>
    </row>
    <row r="225" spans="1:17">
      <c r="A225" t="s">
        <v>261</v>
      </c>
      <c r="B225" t="s">
        <v>34</v>
      </c>
      <c r="C225" s="1">
        <v>45790</v>
      </c>
      <c r="D225" t="s">
        <v>40</v>
      </c>
      <c r="E225" t="s">
        <v>41</v>
      </c>
      <c r="F225">
        <v>602</v>
      </c>
      <c r="G225">
        <v>594</v>
      </c>
      <c r="H225">
        <v>156</v>
      </c>
      <c r="I225">
        <v>4214</v>
      </c>
      <c r="J225">
        <v>3363</v>
      </c>
      <c r="K225">
        <v>164</v>
      </c>
      <c r="L225" t="s">
        <v>17</v>
      </c>
      <c r="M225" t="s">
        <v>32</v>
      </c>
      <c r="N225">
        <v>32.08</v>
      </c>
      <c r="O225" s="1">
        <v>45570</v>
      </c>
      <c r="P225" s="1">
        <v>45601</v>
      </c>
      <c r="Q225" t="s">
        <v>417</v>
      </c>
    </row>
    <row r="226" spans="1:17">
      <c r="A226" t="s">
        <v>262</v>
      </c>
      <c r="B226" t="s">
        <v>14</v>
      </c>
      <c r="C226" s="1">
        <v>45463</v>
      </c>
      <c r="D226" t="s">
        <v>35</v>
      </c>
      <c r="E226" t="s">
        <v>36</v>
      </c>
      <c r="F226">
        <v>4672</v>
      </c>
      <c r="G226">
        <v>325</v>
      </c>
      <c r="H226">
        <v>32</v>
      </c>
      <c r="I226">
        <v>88768</v>
      </c>
      <c r="J226">
        <v>87833</v>
      </c>
      <c r="K226">
        <v>118</v>
      </c>
      <c r="L226" t="s">
        <v>368</v>
      </c>
      <c r="M226" t="s">
        <v>32</v>
      </c>
      <c r="N226">
        <v>5.67</v>
      </c>
      <c r="O226" s="1">
        <v>45570</v>
      </c>
      <c r="P226" s="1">
        <v>45601</v>
      </c>
      <c r="Q226" t="s">
        <v>419</v>
      </c>
    </row>
    <row r="227" spans="1:17">
      <c r="A227" t="s">
        <v>263</v>
      </c>
      <c r="B227" t="s">
        <v>27</v>
      </c>
      <c r="C227" s="1">
        <v>45511</v>
      </c>
      <c r="D227" t="s">
        <v>35</v>
      </c>
      <c r="E227" t="s">
        <v>36</v>
      </c>
      <c r="F227">
        <v>1741</v>
      </c>
      <c r="G227">
        <v>164</v>
      </c>
      <c r="H227">
        <v>318</v>
      </c>
      <c r="I227">
        <v>8705</v>
      </c>
      <c r="J227">
        <v>8272</v>
      </c>
      <c r="K227">
        <v>121</v>
      </c>
      <c r="L227" t="s">
        <v>17</v>
      </c>
      <c r="M227" t="s">
        <v>23</v>
      </c>
      <c r="N227">
        <v>25.54</v>
      </c>
      <c r="O227" s="1">
        <v>45453</v>
      </c>
      <c r="P227" s="1">
        <v>45478</v>
      </c>
      <c r="Q227" t="s">
        <v>417</v>
      </c>
    </row>
    <row r="228" spans="1:17">
      <c r="A228" t="s">
        <v>264</v>
      </c>
      <c r="B228" t="s">
        <v>27</v>
      </c>
      <c r="C228" s="1">
        <v>45455</v>
      </c>
      <c r="D228" t="s">
        <v>20</v>
      </c>
      <c r="E228" t="s">
        <v>21</v>
      </c>
      <c r="F228">
        <v>246</v>
      </c>
      <c r="G228">
        <v>149</v>
      </c>
      <c r="H228">
        <v>130</v>
      </c>
      <c r="I228">
        <v>4674</v>
      </c>
      <c r="J228">
        <v>4390</v>
      </c>
      <c r="K228">
        <v>217</v>
      </c>
      <c r="L228" t="s">
        <v>367</v>
      </c>
      <c r="M228" t="s">
        <v>23</v>
      </c>
      <c r="N228">
        <v>11.23</v>
      </c>
      <c r="O228" s="1">
        <v>45453</v>
      </c>
      <c r="P228" s="1">
        <v>45478</v>
      </c>
      <c r="Q228" t="s">
        <v>418</v>
      </c>
    </row>
    <row r="229" spans="1:17">
      <c r="A229" t="s">
        <v>265</v>
      </c>
      <c r="B229" t="s">
        <v>27</v>
      </c>
      <c r="C229" s="1">
        <v>45474</v>
      </c>
      <c r="D229" t="s">
        <v>28</v>
      </c>
      <c r="E229" t="s">
        <v>29</v>
      </c>
      <c r="F229">
        <v>4808</v>
      </c>
      <c r="G229">
        <v>772</v>
      </c>
      <c r="H229">
        <v>320</v>
      </c>
      <c r="I229">
        <v>72120</v>
      </c>
      <c r="J229">
        <v>71696</v>
      </c>
      <c r="K229">
        <v>195</v>
      </c>
      <c r="L229" t="s">
        <v>373</v>
      </c>
      <c r="M229" t="s">
        <v>44</v>
      </c>
      <c r="N229">
        <v>8.18</v>
      </c>
      <c r="O229" s="1">
        <v>45667</v>
      </c>
      <c r="P229" s="1">
        <v>45698</v>
      </c>
      <c r="Q229" t="s">
        <v>419</v>
      </c>
    </row>
    <row r="230" spans="1:17">
      <c r="A230" t="s">
        <v>266</v>
      </c>
      <c r="B230" t="s">
        <v>27</v>
      </c>
      <c r="C230" s="1">
        <v>45476</v>
      </c>
      <c r="D230" t="s">
        <v>35</v>
      </c>
      <c r="E230" t="s">
        <v>36</v>
      </c>
      <c r="F230">
        <v>4799</v>
      </c>
      <c r="G230">
        <v>694</v>
      </c>
      <c r="H230">
        <v>289</v>
      </c>
      <c r="I230">
        <v>43191</v>
      </c>
      <c r="J230">
        <v>42228</v>
      </c>
      <c r="K230">
        <v>118</v>
      </c>
      <c r="L230" t="s">
        <v>37</v>
      </c>
      <c r="M230" t="s">
        <v>23</v>
      </c>
      <c r="N230">
        <v>13.39</v>
      </c>
      <c r="O230" s="1">
        <v>45453</v>
      </c>
      <c r="P230" s="1">
        <v>45478</v>
      </c>
      <c r="Q230" t="s">
        <v>418</v>
      </c>
    </row>
    <row r="231" spans="1:17">
      <c r="A231" t="s">
        <v>267</v>
      </c>
      <c r="B231" t="s">
        <v>34</v>
      </c>
      <c r="C231" s="1">
        <v>45488</v>
      </c>
      <c r="D231" t="s">
        <v>15</v>
      </c>
      <c r="E231" t="s">
        <v>16</v>
      </c>
      <c r="F231">
        <v>3663</v>
      </c>
      <c r="G231">
        <v>17</v>
      </c>
      <c r="H231">
        <v>295</v>
      </c>
      <c r="I231">
        <v>51282</v>
      </c>
      <c r="J231">
        <v>50567</v>
      </c>
      <c r="K231">
        <v>84</v>
      </c>
      <c r="L231" t="s">
        <v>17</v>
      </c>
      <c r="M231" t="s">
        <v>18</v>
      </c>
      <c r="N231">
        <v>7.75</v>
      </c>
      <c r="O231" s="1">
        <v>45505</v>
      </c>
      <c r="P231" s="1">
        <v>45535</v>
      </c>
      <c r="Q231" t="s">
        <v>419</v>
      </c>
    </row>
    <row r="232" spans="1:17">
      <c r="A232" t="s">
        <v>268</v>
      </c>
      <c r="B232" t="s">
        <v>27</v>
      </c>
      <c r="C232" s="1">
        <v>45778</v>
      </c>
      <c r="D232" t="s">
        <v>20</v>
      </c>
      <c r="E232" t="s">
        <v>21</v>
      </c>
      <c r="F232">
        <v>1430</v>
      </c>
      <c r="G232">
        <v>376</v>
      </c>
      <c r="H232">
        <v>33</v>
      </c>
      <c r="I232">
        <v>21450</v>
      </c>
      <c r="J232">
        <v>20509</v>
      </c>
      <c r="K232">
        <v>251</v>
      </c>
      <c r="L232" t="s">
        <v>52</v>
      </c>
      <c r="M232" t="s">
        <v>32</v>
      </c>
      <c r="N232">
        <v>8.57</v>
      </c>
      <c r="O232" s="1">
        <v>45570</v>
      </c>
      <c r="P232" s="1">
        <v>45601</v>
      </c>
      <c r="Q232" t="s">
        <v>417</v>
      </c>
    </row>
    <row r="233" spans="1:17">
      <c r="A233" t="s">
        <v>269</v>
      </c>
      <c r="B233" t="s">
        <v>14</v>
      </c>
      <c r="C233" s="1">
        <v>45776</v>
      </c>
      <c r="D233" t="s">
        <v>28</v>
      </c>
      <c r="E233" t="s">
        <v>29</v>
      </c>
      <c r="F233">
        <v>249</v>
      </c>
      <c r="G233">
        <v>592</v>
      </c>
      <c r="H233">
        <v>230</v>
      </c>
      <c r="I233">
        <v>1494</v>
      </c>
      <c r="J233">
        <v>1044</v>
      </c>
      <c r="K233">
        <v>201</v>
      </c>
      <c r="L233" t="s">
        <v>376</v>
      </c>
      <c r="M233" t="s">
        <v>44</v>
      </c>
      <c r="N233">
        <v>71.69</v>
      </c>
      <c r="O233" s="1">
        <v>45667</v>
      </c>
      <c r="P233" s="1">
        <v>45698</v>
      </c>
      <c r="Q233" t="s">
        <v>417</v>
      </c>
    </row>
    <row r="234" spans="1:17">
      <c r="A234" t="s">
        <v>270</v>
      </c>
      <c r="B234" t="s">
        <v>34</v>
      </c>
      <c r="C234" s="1">
        <v>45724</v>
      </c>
      <c r="D234" t="s">
        <v>40</v>
      </c>
      <c r="E234" t="s">
        <v>41</v>
      </c>
      <c r="F234">
        <v>2382</v>
      </c>
      <c r="G234">
        <v>265</v>
      </c>
      <c r="H234">
        <v>134</v>
      </c>
      <c r="I234">
        <v>38112</v>
      </c>
      <c r="J234">
        <v>37437</v>
      </c>
      <c r="K234">
        <v>249</v>
      </c>
      <c r="L234" t="s">
        <v>372</v>
      </c>
      <c r="M234" t="s">
        <v>23</v>
      </c>
      <c r="N234">
        <v>7.3</v>
      </c>
      <c r="O234" s="1">
        <v>45453</v>
      </c>
      <c r="P234" s="1">
        <v>45478</v>
      </c>
      <c r="Q234" t="s">
        <v>417</v>
      </c>
    </row>
    <row r="235" spans="1:17">
      <c r="A235" t="s">
        <v>271</v>
      </c>
      <c r="B235" t="s">
        <v>34</v>
      </c>
      <c r="C235" s="1">
        <v>45444</v>
      </c>
      <c r="D235" t="s">
        <v>20</v>
      </c>
      <c r="E235" t="s">
        <v>21</v>
      </c>
      <c r="F235">
        <v>1272</v>
      </c>
      <c r="G235">
        <v>465</v>
      </c>
      <c r="H235">
        <v>99</v>
      </c>
      <c r="I235">
        <v>24168</v>
      </c>
      <c r="J235">
        <v>23719</v>
      </c>
      <c r="K235">
        <v>42</v>
      </c>
      <c r="L235" t="s">
        <v>361</v>
      </c>
      <c r="M235" t="s">
        <v>23</v>
      </c>
      <c r="N235">
        <v>7.6</v>
      </c>
      <c r="O235" s="1">
        <v>45453</v>
      </c>
      <c r="P235" s="1">
        <v>45478</v>
      </c>
      <c r="Q235" t="s">
        <v>419</v>
      </c>
    </row>
    <row r="236" spans="1:17">
      <c r="A236" t="s">
        <v>272</v>
      </c>
      <c r="B236" t="s">
        <v>34</v>
      </c>
      <c r="C236" s="1">
        <v>45648</v>
      </c>
      <c r="D236" t="s">
        <v>40</v>
      </c>
      <c r="E236" t="s">
        <v>41</v>
      </c>
      <c r="F236">
        <v>3196</v>
      </c>
      <c r="G236">
        <v>941</v>
      </c>
      <c r="H236">
        <v>376</v>
      </c>
      <c r="I236">
        <v>35156</v>
      </c>
      <c r="J236">
        <v>34444</v>
      </c>
      <c r="K236">
        <v>241</v>
      </c>
      <c r="L236" t="s">
        <v>364</v>
      </c>
      <c r="M236" t="s">
        <v>44</v>
      </c>
      <c r="N236">
        <v>12.84</v>
      </c>
      <c r="O236" s="1">
        <v>45667</v>
      </c>
      <c r="P236" s="1">
        <v>45698</v>
      </c>
      <c r="Q236" t="s">
        <v>419</v>
      </c>
    </row>
    <row r="237" spans="1:17">
      <c r="A237" t="s">
        <v>273</v>
      </c>
      <c r="B237" t="s">
        <v>34</v>
      </c>
      <c r="C237" s="1">
        <v>45523</v>
      </c>
      <c r="D237" t="s">
        <v>20</v>
      </c>
      <c r="E237" t="s">
        <v>21</v>
      </c>
      <c r="F237">
        <v>1257</v>
      </c>
      <c r="G237">
        <v>19</v>
      </c>
      <c r="H237">
        <v>351</v>
      </c>
      <c r="I237">
        <v>12570</v>
      </c>
      <c r="J237">
        <v>11660</v>
      </c>
      <c r="K237">
        <v>194</v>
      </c>
      <c r="L237" t="s">
        <v>31</v>
      </c>
      <c r="M237" t="s">
        <v>18</v>
      </c>
      <c r="N237">
        <v>12.94</v>
      </c>
      <c r="O237" s="1">
        <v>45505</v>
      </c>
      <c r="P237" s="1">
        <v>45535</v>
      </c>
      <c r="Q237" t="s">
        <v>418</v>
      </c>
    </row>
    <row r="238" spans="1:17">
      <c r="A238" t="s">
        <v>274</v>
      </c>
      <c r="B238" t="s">
        <v>27</v>
      </c>
      <c r="C238" s="1">
        <v>45587</v>
      </c>
      <c r="D238" t="s">
        <v>28</v>
      </c>
      <c r="E238" t="s">
        <v>29</v>
      </c>
      <c r="F238">
        <v>3770</v>
      </c>
      <c r="G238">
        <v>917</v>
      </c>
      <c r="H238">
        <v>129</v>
      </c>
      <c r="I238">
        <v>71630</v>
      </c>
      <c r="J238">
        <v>71322</v>
      </c>
      <c r="K238">
        <v>76</v>
      </c>
      <c r="L238" t="s">
        <v>365</v>
      </c>
      <c r="M238" t="s">
        <v>44</v>
      </c>
      <c r="N238">
        <v>6.72</v>
      </c>
      <c r="O238" s="1">
        <v>45667</v>
      </c>
      <c r="P238" s="1">
        <v>45698</v>
      </c>
      <c r="Q238" t="s">
        <v>419</v>
      </c>
    </row>
    <row r="239" spans="1:17">
      <c r="A239" t="s">
        <v>275</v>
      </c>
      <c r="B239" t="s">
        <v>14</v>
      </c>
      <c r="C239" s="1">
        <v>45489</v>
      </c>
      <c r="D239" t="s">
        <v>20</v>
      </c>
      <c r="E239" t="s">
        <v>21</v>
      </c>
      <c r="F239">
        <v>4725</v>
      </c>
      <c r="G239">
        <v>400</v>
      </c>
      <c r="H239">
        <v>362</v>
      </c>
      <c r="I239">
        <v>75600</v>
      </c>
      <c r="J239">
        <v>74927</v>
      </c>
      <c r="K239">
        <v>43</v>
      </c>
      <c r="L239" t="s">
        <v>366</v>
      </c>
      <c r="M239" t="s">
        <v>18</v>
      </c>
      <c r="N239">
        <v>7.26</v>
      </c>
      <c r="O239" s="1">
        <v>45505</v>
      </c>
      <c r="P239" s="1">
        <v>45535</v>
      </c>
      <c r="Q239" t="s">
        <v>419</v>
      </c>
    </row>
    <row r="240" spans="1:17">
      <c r="A240" t="s">
        <v>276</v>
      </c>
      <c r="B240" t="s">
        <v>25</v>
      </c>
      <c r="C240" s="1">
        <v>45712</v>
      </c>
      <c r="D240" t="s">
        <v>20</v>
      </c>
      <c r="E240" t="s">
        <v>21</v>
      </c>
      <c r="F240">
        <v>4188</v>
      </c>
      <c r="G240">
        <v>942</v>
      </c>
      <c r="H240">
        <v>118</v>
      </c>
      <c r="I240">
        <v>20940</v>
      </c>
      <c r="J240">
        <v>20471</v>
      </c>
      <c r="K240">
        <v>102</v>
      </c>
      <c r="L240" t="s">
        <v>31</v>
      </c>
      <c r="M240" t="s">
        <v>23</v>
      </c>
      <c r="N240">
        <v>25.06</v>
      </c>
      <c r="O240" s="1">
        <v>45453</v>
      </c>
      <c r="P240" s="1">
        <v>45478</v>
      </c>
      <c r="Q240" t="s">
        <v>417</v>
      </c>
    </row>
    <row r="241" spans="1:17">
      <c r="A241" t="s">
        <v>277</v>
      </c>
      <c r="B241" t="s">
        <v>14</v>
      </c>
      <c r="C241" s="1">
        <v>45530</v>
      </c>
      <c r="D241" t="s">
        <v>35</v>
      </c>
      <c r="E241" t="s">
        <v>36</v>
      </c>
      <c r="F241">
        <v>929</v>
      </c>
      <c r="G241">
        <v>192</v>
      </c>
      <c r="H241">
        <v>322</v>
      </c>
      <c r="I241">
        <v>16722</v>
      </c>
      <c r="J241">
        <v>15996</v>
      </c>
      <c r="K241">
        <v>145</v>
      </c>
      <c r="L241" t="s">
        <v>22</v>
      </c>
      <c r="M241" t="s">
        <v>32</v>
      </c>
      <c r="N241">
        <v>8.6300000000000008</v>
      </c>
      <c r="O241" s="1">
        <v>45570</v>
      </c>
      <c r="P241" s="1">
        <v>45601</v>
      </c>
      <c r="Q241" t="s">
        <v>419</v>
      </c>
    </row>
    <row r="242" spans="1:17">
      <c r="A242" t="s">
        <v>278</v>
      </c>
      <c r="B242" t="s">
        <v>34</v>
      </c>
      <c r="C242" s="1">
        <v>45675</v>
      </c>
      <c r="D242" t="s">
        <v>28</v>
      </c>
      <c r="E242" t="s">
        <v>29</v>
      </c>
      <c r="F242">
        <v>4321</v>
      </c>
      <c r="G242">
        <v>874</v>
      </c>
      <c r="H242">
        <v>172</v>
      </c>
      <c r="I242">
        <v>30247</v>
      </c>
      <c r="J242">
        <v>29254</v>
      </c>
      <c r="K242">
        <v>122</v>
      </c>
      <c r="L242" t="s">
        <v>360</v>
      </c>
      <c r="M242" t="s">
        <v>32</v>
      </c>
      <c r="N242">
        <v>17.739999999999998</v>
      </c>
      <c r="O242" s="1">
        <v>45570</v>
      </c>
      <c r="P242" s="1">
        <v>45601</v>
      </c>
      <c r="Q242" t="s">
        <v>417</v>
      </c>
    </row>
    <row r="243" spans="1:17">
      <c r="A243" t="s">
        <v>279</v>
      </c>
      <c r="B243" t="s">
        <v>34</v>
      </c>
      <c r="C243" s="1">
        <v>45480</v>
      </c>
      <c r="D243" t="s">
        <v>15</v>
      </c>
      <c r="E243" t="s">
        <v>16</v>
      </c>
      <c r="F243">
        <v>4767</v>
      </c>
      <c r="G243">
        <v>190</v>
      </c>
      <c r="H243">
        <v>340</v>
      </c>
      <c r="I243">
        <v>28602</v>
      </c>
      <c r="J243">
        <v>28044</v>
      </c>
      <c r="K243">
        <v>210</v>
      </c>
      <c r="L243" t="s">
        <v>52</v>
      </c>
      <c r="M243" t="s">
        <v>44</v>
      </c>
      <c r="N243">
        <v>18.52</v>
      </c>
      <c r="O243" s="1">
        <v>45667</v>
      </c>
      <c r="P243" s="1">
        <v>45698</v>
      </c>
      <c r="Q243" t="s">
        <v>419</v>
      </c>
    </row>
    <row r="244" spans="1:17">
      <c r="A244" t="s">
        <v>280</v>
      </c>
      <c r="B244" t="s">
        <v>14</v>
      </c>
      <c r="C244" s="1">
        <v>45722</v>
      </c>
      <c r="D244" t="s">
        <v>40</v>
      </c>
      <c r="E244" t="s">
        <v>41</v>
      </c>
      <c r="F244">
        <v>3592</v>
      </c>
      <c r="G244">
        <v>911</v>
      </c>
      <c r="H244">
        <v>375</v>
      </c>
      <c r="I244">
        <v>50288</v>
      </c>
      <c r="J244">
        <v>49490</v>
      </c>
      <c r="K244">
        <v>32</v>
      </c>
      <c r="L244" t="s">
        <v>31</v>
      </c>
      <c r="M244" t="s">
        <v>23</v>
      </c>
      <c r="N244">
        <v>9.6999999999999993</v>
      </c>
      <c r="O244" s="1">
        <v>45453</v>
      </c>
      <c r="P244" s="1">
        <v>45478</v>
      </c>
      <c r="Q244" t="s">
        <v>417</v>
      </c>
    </row>
    <row r="245" spans="1:17">
      <c r="A245" t="s">
        <v>281</v>
      </c>
      <c r="B245" t="s">
        <v>25</v>
      </c>
      <c r="C245" s="1">
        <v>45590</v>
      </c>
      <c r="D245" t="s">
        <v>50</v>
      </c>
      <c r="E245" t="s">
        <v>51</v>
      </c>
      <c r="F245">
        <v>4661</v>
      </c>
      <c r="G245">
        <v>935</v>
      </c>
      <c r="H245">
        <v>433</v>
      </c>
      <c r="I245">
        <v>23305</v>
      </c>
      <c r="J245">
        <v>22583</v>
      </c>
      <c r="K245">
        <v>63</v>
      </c>
      <c r="L245" t="s">
        <v>371</v>
      </c>
      <c r="M245" t="s">
        <v>18</v>
      </c>
      <c r="N245">
        <v>25.87</v>
      </c>
      <c r="O245" s="1">
        <v>45505</v>
      </c>
      <c r="P245" s="1">
        <v>45535</v>
      </c>
      <c r="Q245" t="s">
        <v>417</v>
      </c>
    </row>
    <row r="246" spans="1:17">
      <c r="A246" t="s">
        <v>282</v>
      </c>
      <c r="B246" t="s">
        <v>34</v>
      </c>
      <c r="C246" s="1">
        <v>45669</v>
      </c>
      <c r="D246" t="s">
        <v>15</v>
      </c>
      <c r="E246" t="s">
        <v>16</v>
      </c>
      <c r="F246">
        <v>4134</v>
      </c>
      <c r="G246">
        <v>824</v>
      </c>
      <c r="H246">
        <v>99</v>
      </c>
      <c r="I246">
        <v>41340</v>
      </c>
      <c r="J246">
        <v>41050</v>
      </c>
      <c r="K246">
        <v>177</v>
      </c>
      <c r="L246" t="s">
        <v>22</v>
      </c>
      <c r="M246" t="s">
        <v>23</v>
      </c>
      <c r="N246">
        <v>12.23</v>
      </c>
      <c r="O246" s="1">
        <v>45453</v>
      </c>
      <c r="P246" s="1">
        <v>45478</v>
      </c>
      <c r="Q246" t="s">
        <v>417</v>
      </c>
    </row>
    <row r="247" spans="1:17">
      <c r="A247" t="s">
        <v>283</v>
      </c>
      <c r="B247" t="s">
        <v>34</v>
      </c>
      <c r="C247" s="1">
        <v>45576</v>
      </c>
      <c r="D247" t="s">
        <v>40</v>
      </c>
      <c r="E247" t="s">
        <v>41</v>
      </c>
      <c r="F247">
        <v>400</v>
      </c>
      <c r="G247">
        <v>680</v>
      </c>
      <c r="H247">
        <v>434</v>
      </c>
      <c r="I247">
        <v>6400</v>
      </c>
      <c r="J247">
        <v>5472</v>
      </c>
      <c r="K247">
        <v>160</v>
      </c>
      <c r="L247" t="s">
        <v>365</v>
      </c>
      <c r="M247" t="s">
        <v>23</v>
      </c>
      <c r="N247">
        <v>23.66</v>
      </c>
      <c r="O247" s="1">
        <v>45453</v>
      </c>
      <c r="P247" s="1">
        <v>45478</v>
      </c>
      <c r="Q247" t="s">
        <v>417</v>
      </c>
    </row>
    <row r="248" spans="1:17">
      <c r="A248" t="s">
        <v>284</v>
      </c>
      <c r="B248" t="s">
        <v>34</v>
      </c>
      <c r="C248" s="1">
        <v>45531</v>
      </c>
      <c r="D248" t="s">
        <v>15</v>
      </c>
      <c r="E248" t="s">
        <v>16</v>
      </c>
      <c r="F248">
        <v>3960</v>
      </c>
      <c r="G248">
        <v>266</v>
      </c>
      <c r="H248">
        <v>8</v>
      </c>
      <c r="I248">
        <v>35640</v>
      </c>
      <c r="J248">
        <v>34850</v>
      </c>
      <c r="K248">
        <v>208</v>
      </c>
      <c r="L248" t="s">
        <v>366</v>
      </c>
      <c r="M248" t="s">
        <v>44</v>
      </c>
      <c r="N248">
        <v>11.88</v>
      </c>
      <c r="O248" s="1">
        <v>45667</v>
      </c>
      <c r="P248" s="1">
        <v>45698</v>
      </c>
      <c r="Q248" t="s">
        <v>419</v>
      </c>
    </row>
    <row r="249" spans="1:17">
      <c r="A249" t="s">
        <v>285</v>
      </c>
      <c r="B249" t="s">
        <v>34</v>
      </c>
      <c r="C249" s="1">
        <v>45690</v>
      </c>
      <c r="D249" t="s">
        <v>28</v>
      </c>
      <c r="E249" t="s">
        <v>29</v>
      </c>
      <c r="F249">
        <v>886</v>
      </c>
      <c r="G249">
        <v>126</v>
      </c>
      <c r="H249">
        <v>153</v>
      </c>
      <c r="I249">
        <v>4430</v>
      </c>
      <c r="J249">
        <v>4037</v>
      </c>
      <c r="K249">
        <v>212</v>
      </c>
      <c r="L249" t="s">
        <v>17</v>
      </c>
      <c r="M249" t="s">
        <v>32</v>
      </c>
      <c r="N249">
        <v>26.3</v>
      </c>
      <c r="O249" s="1">
        <v>45570</v>
      </c>
      <c r="P249" s="1">
        <v>45601</v>
      </c>
      <c r="Q249" t="s">
        <v>417</v>
      </c>
    </row>
    <row r="250" spans="1:17">
      <c r="A250" t="s">
        <v>286</v>
      </c>
      <c r="B250" t="s">
        <v>14</v>
      </c>
      <c r="C250" s="1">
        <v>45491</v>
      </c>
      <c r="D250" t="s">
        <v>40</v>
      </c>
      <c r="E250" t="s">
        <v>41</v>
      </c>
      <c r="F250">
        <v>827</v>
      </c>
      <c r="G250">
        <v>77</v>
      </c>
      <c r="H250">
        <v>402</v>
      </c>
      <c r="I250">
        <v>14886</v>
      </c>
      <c r="J250">
        <v>14129</v>
      </c>
      <c r="K250">
        <v>254</v>
      </c>
      <c r="L250" t="s">
        <v>31</v>
      </c>
      <c r="M250" t="s">
        <v>23</v>
      </c>
      <c r="N250">
        <v>8.77</v>
      </c>
      <c r="O250" s="1">
        <v>45453</v>
      </c>
      <c r="P250" s="1">
        <v>45478</v>
      </c>
      <c r="Q250" t="s">
        <v>417</v>
      </c>
    </row>
    <row r="251" spans="1:17">
      <c r="A251" t="s">
        <v>287</v>
      </c>
      <c r="B251" t="s">
        <v>34</v>
      </c>
      <c r="C251" s="1">
        <v>45465</v>
      </c>
      <c r="D251" t="s">
        <v>15</v>
      </c>
      <c r="E251" t="s">
        <v>16</v>
      </c>
      <c r="F251">
        <v>3813</v>
      </c>
      <c r="G251">
        <v>935</v>
      </c>
      <c r="H251">
        <v>274</v>
      </c>
      <c r="I251">
        <v>68634</v>
      </c>
      <c r="J251">
        <v>68488</v>
      </c>
      <c r="K251">
        <v>251</v>
      </c>
      <c r="L251" t="s">
        <v>372</v>
      </c>
      <c r="M251" t="s">
        <v>18</v>
      </c>
      <c r="N251">
        <v>7.32</v>
      </c>
      <c r="O251" s="1">
        <v>45505</v>
      </c>
      <c r="P251" s="1">
        <v>45535</v>
      </c>
      <c r="Q251" t="s">
        <v>419</v>
      </c>
    </row>
    <row r="252" spans="1:17">
      <c r="A252" t="s">
        <v>288</v>
      </c>
      <c r="B252" t="s">
        <v>27</v>
      </c>
      <c r="C252" s="1">
        <v>45743</v>
      </c>
      <c r="D252" t="s">
        <v>35</v>
      </c>
      <c r="E252" t="s">
        <v>36</v>
      </c>
      <c r="F252">
        <v>1377</v>
      </c>
      <c r="G252">
        <v>796</v>
      </c>
      <c r="H252">
        <v>387</v>
      </c>
      <c r="I252">
        <v>22032</v>
      </c>
      <c r="J252">
        <v>21869</v>
      </c>
      <c r="K252">
        <v>189</v>
      </c>
      <c r="L252" t="s">
        <v>369</v>
      </c>
      <c r="M252" t="s">
        <v>32</v>
      </c>
      <c r="N252">
        <v>11.62</v>
      </c>
      <c r="O252" s="1">
        <v>45570</v>
      </c>
      <c r="P252" s="1">
        <v>45601</v>
      </c>
      <c r="Q252" t="s">
        <v>417</v>
      </c>
    </row>
    <row r="253" spans="1:17">
      <c r="A253" t="s">
        <v>289</v>
      </c>
      <c r="B253" t="s">
        <v>34</v>
      </c>
      <c r="C253" s="1">
        <v>45775</v>
      </c>
      <c r="D253" t="s">
        <v>35</v>
      </c>
      <c r="E253" t="s">
        <v>36</v>
      </c>
      <c r="F253">
        <v>2089</v>
      </c>
      <c r="G253">
        <v>476</v>
      </c>
      <c r="H253">
        <v>69</v>
      </c>
      <c r="I253">
        <v>16712</v>
      </c>
      <c r="J253">
        <v>16309</v>
      </c>
      <c r="K253">
        <v>64</v>
      </c>
      <c r="L253" t="s">
        <v>359</v>
      </c>
      <c r="M253" t="s">
        <v>18</v>
      </c>
      <c r="N253">
        <v>15.76</v>
      </c>
      <c r="O253" s="1">
        <v>45505</v>
      </c>
      <c r="P253" s="1">
        <v>45535</v>
      </c>
      <c r="Q253" t="s">
        <v>417</v>
      </c>
    </row>
    <row r="254" spans="1:17">
      <c r="A254" t="s">
        <v>290</v>
      </c>
      <c r="B254" t="s">
        <v>14</v>
      </c>
      <c r="C254" s="1">
        <v>45507</v>
      </c>
      <c r="D254" t="s">
        <v>15</v>
      </c>
      <c r="E254" t="s">
        <v>16</v>
      </c>
      <c r="F254">
        <v>3791</v>
      </c>
      <c r="G254">
        <v>593</v>
      </c>
      <c r="H254">
        <v>228</v>
      </c>
      <c r="I254">
        <v>53074</v>
      </c>
      <c r="J254">
        <v>52613</v>
      </c>
      <c r="K254">
        <v>205</v>
      </c>
      <c r="L254" t="s">
        <v>371</v>
      </c>
      <c r="M254" t="s">
        <v>18</v>
      </c>
      <c r="N254">
        <v>8.69</v>
      </c>
      <c r="O254" s="1">
        <v>45505</v>
      </c>
      <c r="P254" s="1">
        <v>45535</v>
      </c>
      <c r="Q254" t="s">
        <v>418</v>
      </c>
    </row>
    <row r="255" spans="1:17">
      <c r="A255" t="s">
        <v>291</v>
      </c>
      <c r="B255" t="s">
        <v>14</v>
      </c>
      <c r="C255" s="1">
        <v>45671</v>
      </c>
      <c r="D255" t="s">
        <v>40</v>
      </c>
      <c r="E255" t="s">
        <v>41</v>
      </c>
      <c r="F255">
        <v>2692</v>
      </c>
      <c r="G255">
        <v>115</v>
      </c>
      <c r="H255">
        <v>64</v>
      </c>
      <c r="I255">
        <v>21536</v>
      </c>
      <c r="J255">
        <v>21120</v>
      </c>
      <c r="K255">
        <v>224</v>
      </c>
      <c r="L255" t="s">
        <v>372</v>
      </c>
      <c r="M255" t="s">
        <v>44</v>
      </c>
      <c r="N255">
        <v>13.33</v>
      </c>
      <c r="O255" s="1">
        <v>45667</v>
      </c>
      <c r="P255" s="1">
        <v>45698</v>
      </c>
      <c r="Q255" t="s">
        <v>418</v>
      </c>
    </row>
    <row r="256" spans="1:17">
      <c r="A256" t="s">
        <v>292</v>
      </c>
      <c r="B256" t="s">
        <v>34</v>
      </c>
      <c r="C256" s="1">
        <v>45750</v>
      </c>
      <c r="D256" t="s">
        <v>28</v>
      </c>
      <c r="E256" t="s">
        <v>29</v>
      </c>
      <c r="F256">
        <v>3767</v>
      </c>
      <c r="G256">
        <v>514</v>
      </c>
      <c r="H256">
        <v>238</v>
      </c>
      <c r="I256">
        <v>37670</v>
      </c>
      <c r="J256">
        <v>36807</v>
      </c>
      <c r="K256">
        <v>226</v>
      </c>
      <c r="L256" t="s">
        <v>371</v>
      </c>
      <c r="M256" t="s">
        <v>18</v>
      </c>
      <c r="N256">
        <v>12</v>
      </c>
      <c r="O256" s="1">
        <v>45505</v>
      </c>
      <c r="P256" s="1">
        <v>45535</v>
      </c>
      <c r="Q256" t="s">
        <v>417</v>
      </c>
    </row>
    <row r="257" spans="1:17">
      <c r="A257" t="s">
        <v>293</v>
      </c>
      <c r="B257" t="s">
        <v>25</v>
      </c>
      <c r="C257" s="1">
        <v>45553</v>
      </c>
      <c r="D257" t="s">
        <v>35</v>
      </c>
      <c r="E257" t="s">
        <v>36</v>
      </c>
      <c r="F257">
        <v>2143</v>
      </c>
      <c r="G257">
        <v>12</v>
      </c>
      <c r="H257">
        <v>204</v>
      </c>
      <c r="I257">
        <v>40717</v>
      </c>
      <c r="J257">
        <v>40125</v>
      </c>
      <c r="K257">
        <v>248</v>
      </c>
      <c r="L257" t="s">
        <v>368</v>
      </c>
      <c r="M257" t="s">
        <v>44</v>
      </c>
      <c r="N257">
        <v>5.79</v>
      </c>
      <c r="O257" s="1">
        <v>45667</v>
      </c>
      <c r="P257" s="1">
        <v>45698</v>
      </c>
      <c r="Q257" t="s">
        <v>419</v>
      </c>
    </row>
    <row r="258" spans="1:17">
      <c r="A258" t="s">
        <v>294</v>
      </c>
      <c r="B258" t="s">
        <v>34</v>
      </c>
      <c r="C258" s="1">
        <v>45753</v>
      </c>
      <c r="D258" t="s">
        <v>40</v>
      </c>
      <c r="E258" t="s">
        <v>41</v>
      </c>
      <c r="F258">
        <v>3090</v>
      </c>
      <c r="G258">
        <v>697</v>
      </c>
      <c r="H258">
        <v>164</v>
      </c>
      <c r="I258">
        <v>49440</v>
      </c>
      <c r="J258">
        <v>48524</v>
      </c>
      <c r="K258">
        <v>25</v>
      </c>
      <c r="L258" t="s">
        <v>375</v>
      </c>
      <c r="M258" t="s">
        <v>44</v>
      </c>
      <c r="N258">
        <v>7.99</v>
      </c>
      <c r="O258" s="1">
        <v>45667</v>
      </c>
      <c r="P258" s="1">
        <v>45698</v>
      </c>
      <c r="Q258" t="s">
        <v>417</v>
      </c>
    </row>
    <row r="259" spans="1:17">
      <c r="A259" t="s">
        <v>295</v>
      </c>
      <c r="B259" t="s">
        <v>27</v>
      </c>
      <c r="C259" s="1">
        <v>45509</v>
      </c>
      <c r="D259" t="s">
        <v>28</v>
      </c>
      <c r="E259" t="s">
        <v>29</v>
      </c>
      <c r="F259">
        <v>3601</v>
      </c>
      <c r="G259">
        <v>695</v>
      </c>
      <c r="H259">
        <v>75</v>
      </c>
      <c r="I259">
        <v>21606</v>
      </c>
      <c r="J259">
        <v>21454</v>
      </c>
      <c r="K259">
        <v>172</v>
      </c>
      <c r="L259" t="s">
        <v>31</v>
      </c>
      <c r="M259" t="s">
        <v>23</v>
      </c>
      <c r="N259">
        <v>20.23</v>
      </c>
      <c r="O259" s="1">
        <v>45453</v>
      </c>
      <c r="P259" s="1">
        <v>45478</v>
      </c>
      <c r="Q259" t="s">
        <v>417</v>
      </c>
    </row>
    <row r="260" spans="1:17">
      <c r="A260" t="s">
        <v>296</v>
      </c>
      <c r="B260" t="s">
        <v>34</v>
      </c>
      <c r="C260" s="1">
        <v>45698</v>
      </c>
      <c r="D260" t="s">
        <v>20</v>
      </c>
      <c r="E260" t="s">
        <v>21</v>
      </c>
      <c r="F260">
        <v>562</v>
      </c>
      <c r="G260">
        <v>158</v>
      </c>
      <c r="H260">
        <v>149</v>
      </c>
      <c r="I260">
        <v>3372</v>
      </c>
      <c r="J260">
        <v>2940</v>
      </c>
      <c r="K260">
        <v>93</v>
      </c>
      <c r="L260" t="s">
        <v>368</v>
      </c>
      <c r="M260" t="s">
        <v>44</v>
      </c>
      <c r="N260">
        <v>25.77</v>
      </c>
      <c r="O260" s="1">
        <v>45667</v>
      </c>
      <c r="P260" s="1">
        <v>45698</v>
      </c>
      <c r="Q260" t="s">
        <v>418</v>
      </c>
    </row>
    <row r="261" spans="1:17">
      <c r="A261" t="s">
        <v>297</v>
      </c>
      <c r="B261" t="s">
        <v>27</v>
      </c>
      <c r="C261" s="1">
        <v>45700</v>
      </c>
      <c r="D261" t="s">
        <v>28</v>
      </c>
      <c r="E261" t="s">
        <v>29</v>
      </c>
      <c r="F261">
        <v>4332</v>
      </c>
      <c r="G261">
        <v>771</v>
      </c>
      <c r="H261">
        <v>219</v>
      </c>
      <c r="I261">
        <v>60648</v>
      </c>
      <c r="J261">
        <v>60397</v>
      </c>
      <c r="K261">
        <v>10</v>
      </c>
      <c r="L261" t="s">
        <v>22</v>
      </c>
      <c r="M261" t="s">
        <v>32</v>
      </c>
      <c r="N261">
        <v>8.7799999999999994</v>
      </c>
      <c r="O261" s="1">
        <v>45570</v>
      </c>
      <c r="P261" s="1">
        <v>45601</v>
      </c>
      <c r="Q261" t="s">
        <v>417</v>
      </c>
    </row>
    <row r="262" spans="1:17">
      <c r="A262" t="s">
        <v>298</v>
      </c>
      <c r="B262" t="s">
        <v>27</v>
      </c>
      <c r="C262" s="1">
        <v>45592</v>
      </c>
      <c r="D262" t="s">
        <v>40</v>
      </c>
      <c r="E262" t="s">
        <v>41</v>
      </c>
      <c r="F262">
        <v>4853</v>
      </c>
      <c r="G262">
        <v>837</v>
      </c>
      <c r="H262">
        <v>340</v>
      </c>
      <c r="I262">
        <v>72795</v>
      </c>
      <c r="J262">
        <v>72237</v>
      </c>
      <c r="K262">
        <v>170</v>
      </c>
      <c r="L262" t="s">
        <v>17</v>
      </c>
      <c r="M262" t="s">
        <v>23</v>
      </c>
      <c r="N262">
        <v>8.2799999999999994</v>
      </c>
      <c r="O262" s="1">
        <v>45453</v>
      </c>
      <c r="P262" s="1">
        <v>45478</v>
      </c>
      <c r="Q262" t="s">
        <v>417</v>
      </c>
    </row>
    <row r="263" spans="1:17">
      <c r="A263" t="s">
        <v>299</v>
      </c>
      <c r="B263" t="s">
        <v>25</v>
      </c>
      <c r="C263" s="1">
        <v>45675</v>
      </c>
      <c r="D263" t="s">
        <v>40</v>
      </c>
      <c r="E263" t="s">
        <v>41</v>
      </c>
      <c r="F263">
        <v>1206</v>
      </c>
      <c r="G263">
        <v>238</v>
      </c>
      <c r="H263">
        <v>36</v>
      </c>
      <c r="I263">
        <v>9648</v>
      </c>
      <c r="J263">
        <v>9417</v>
      </c>
      <c r="K263">
        <v>237</v>
      </c>
      <c r="L263" t="s">
        <v>363</v>
      </c>
      <c r="M263" t="s">
        <v>32</v>
      </c>
      <c r="N263">
        <v>15.34</v>
      </c>
      <c r="O263" s="1">
        <v>45570</v>
      </c>
      <c r="P263" s="1">
        <v>45601</v>
      </c>
      <c r="Q263" t="s">
        <v>417</v>
      </c>
    </row>
    <row r="264" spans="1:17">
      <c r="A264" t="s">
        <v>300</v>
      </c>
      <c r="B264" t="s">
        <v>27</v>
      </c>
      <c r="C264" s="1">
        <v>45524</v>
      </c>
      <c r="D264" t="s">
        <v>15</v>
      </c>
      <c r="E264" t="s">
        <v>16</v>
      </c>
      <c r="F264">
        <v>2603</v>
      </c>
      <c r="G264">
        <v>690</v>
      </c>
      <c r="H264">
        <v>205</v>
      </c>
      <c r="I264">
        <v>13015</v>
      </c>
      <c r="J264">
        <v>12130</v>
      </c>
      <c r="K264">
        <v>20</v>
      </c>
      <c r="L264" t="s">
        <v>37</v>
      </c>
      <c r="M264" t="s">
        <v>18</v>
      </c>
      <c r="N264">
        <v>26.88</v>
      </c>
      <c r="O264" s="1">
        <v>45505</v>
      </c>
      <c r="P264" s="1">
        <v>45535</v>
      </c>
      <c r="Q264" t="s">
        <v>418</v>
      </c>
    </row>
    <row r="265" spans="1:17">
      <c r="A265" t="s">
        <v>301</v>
      </c>
      <c r="B265" t="s">
        <v>14</v>
      </c>
      <c r="C265" s="1">
        <v>45687</v>
      </c>
      <c r="D265" t="s">
        <v>40</v>
      </c>
      <c r="E265" t="s">
        <v>41</v>
      </c>
      <c r="F265">
        <v>59</v>
      </c>
      <c r="G265">
        <v>163</v>
      </c>
      <c r="H265">
        <v>93</v>
      </c>
      <c r="I265">
        <v>590</v>
      </c>
      <c r="J265">
        <v>475</v>
      </c>
      <c r="K265">
        <v>293</v>
      </c>
      <c r="L265" t="s">
        <v>37</v>
      </c>
      <c r="M265" t="s">
        <v>44</v>
      </c>
      <c r="N265">
        <v>53.39</v>
      </c>
      <c r="O265" s="1">
        <v>45667</v>
      </c>
      <c r="P265" s="1">
        <v>45698</v>
      </c>
      <c r="Q265" t="s">
        <v>418</v>
      </c>
    </row>
    <row r="266" spans="1:17">
      <c r="A266" t="s">
        <v>302</v>
      </c>
      <c r="B266" t="s">
        <v>14</v>
      </c>
      <c r="C266" s="1">
        <v>45708</v>
      </c>
      <c r="D266" t="s">
        <v>35</v>
      </c>
      <c r="E266" t="s">
        <v>36</v>
      </c>
      <c r="F266">
        <v>1877</v>
      </c>
      <c r="G266">
        <v>745</v>
      </c>
      <c r="H266">
        <v>225</v>
      </c>
      <c r="I266">
        <v>11262</v>
      </c>
      <c r="J266">
        <v>10967</v>
      </c>
      <c r="K266">
        <v>41</v>
      </c>
      <c r="L266" t="s">
        <v>359</v>
      </c>
      <c r="M266" t="s">
        <v>18</v>
      </c>
      <c r="N266">
        <v>25.28</v>
      </c>
      <c r="O266" s="1">
        <v>45505</v>
      </c>
      <c r="P266" s="1">
        <v>45535</v>
      </c>
      <c r="Q266" t="s">
        <v>417</v>
      </c>
    </row>
    <row r="267" spans="1:17">
      <c r="A267" t="s">
        <v>303</v>
      </c>
      <c r="B267" t="s">
        <v>34</v>
      </c>
      <c r="C267" s="1">
        <v>45621</v>
      </c>
      <c r="D267" t="s">
        <v>28</v>
      </c>
      <c r="E267" t="s">
        <v>29</v>
      </c>
      <c r="F267">
        <v>4182</v>
      </c>
      <c r="G267">
        <v>640</v>
      </c>
      <c r="H267">
        <v>240</v>
      </c>
      <c r="I267">
        <v>50184</v>
      </c>
      <c r="J267">
        <v>49351</v>
      </c>
      <c r="K267">
        <v>10</v>
      </c>
      <c r="L267" t="s">
        <v>363</v>
      </c>
      <c r="M267" t="s">
        <v>32</v>
      </c>
      <c r="N267">
        <v>10.09</v>
      </c>
      <c r="O267" s="1">
        <v>45570</v>
      </c>
      <c r="P267" s="1">
        <v>45601</v>
      </c>
      <c r="Q267" t="s">
        <v>417</v>
      </c>
    </row>
    <row r="268" spans="1:17">
      <c r="A268" t="s">
        <v>304</v>
      </c>
      <c r="B268" t="s">
        <v>14</v>
      </c>
      <c r="C268" s="1">
        <v>45569</v>
      </c>
      <c r="D268" t="s">
        <v>15</v>
      </c>
      <c r="E268" t="s">
        <v>16</v>
      </c>
      <c r="F268">
        <v>4187</v>
      </c>
      <c r="G268">
        <v>66</v>
      </c>
      <c r="H268">
        <v>31</v>
      </c>
      <c r="I268">
        <v>66992</v>
      </c>
      <c r="J268">
        <v>66614</v>
      </c>
      <c r="K268">
        <v>62</v>
      </c>
      <c r="L268" t="s">
        <v>31</v>
      </c>
      <c r="M268" t="s">
        <v>44</v>
      </c>
      <c r="N268">
        <v>6.39</v>
      </c>
      <c r="O268" s="1">
        <v>45667</v>
      </c>
      <c r="P268" s="1">
        <v>45698</v>
      </c>
      <c r="Q268" t="s">
        <v>419</v>
      </c>
    </row>
    <row r="269" spans="1:17">
      <c r="A269" t="s">
        <v>305</v>
      </c>
      <c r="B269" t="s">
        <v>27</v>
      </c>
      <c r="C269" s="1">
        <v>45760</v>
      </c>
      <c r="D269" t="s">
        <v>15</v>
      </c>
      <c r="E269" t="s">
        <v>16</v>
      </c>
      <c r="F269">
        <v>4579</v>
      </c>
      <c r="G269">
        <v>125</v>
      </c>
      <c r="H269">
        <v>300</v>
      </c>
      <c r="I269">
        <v>59527</v>
      </c>
      <c r="J269">
        <v>59400</v>
      </c>
      <c r="K269">
        <v>269</v>
      </c>
      <c r="L269" t="s">
        <v>358</v>
      </c>
      <c r="M269" t="s">
        <v>18</v>
      </c>
      <c r="N269">
        <v>8.41</v>
      </c>
      <c r="O269" s="1">
        <v>45505</v>
      </c>
      <c r="P269" s="1">
        <v>45535</v>
      </c>
      <c r="Q269" t="s">
        <v>417</v>
      </c>
    </row>
    <row r="270" spans="1:17">
      <c r="A270" t="s">
        <v>306</v>
      </c>
      <c r="B270" t="s">
        <v>27</v>
      </c>
      <c r="C270" s="1">
        <v>45601</v>
      </c>
      <c r="D270" t="s">
        <v>50</v>
      </c>
      <c r="E270" t="s">
        <v>51</v>
      </c>
      <c r="F270">
        <v>4561</v>
      </c>
      <c r="G270">
        <v>51</v>
      </c>
      <c r="H270">
        <v>441</v>
      </c>
      <c r="I270">
        <v>22805</v>
      </c>
      <c r="J270">
        <v>21890</v>
      </c>
      <c r="K270">
        <v>45</v>
      </c>
      <c r="L270" t="s">
        <v>31</v>
      </c>
      <c r="M270" t="s">
        <v>23</v>
      </c>
      <c r="N270">
        <v>22.16</v>
      </c>
      <c r="O270" s="1">
        <v>45453</v>
      </c>
      <c r="P270" s="1">
        <v>45478</v>
      </c>
      <c r="Q270" t="s">
        <v>417</v>
      </c>
    </row>
    <row r="271" spans="1:17">
      <c r="A271" t="s">
        <v>307</v>
      </c>
      <c r="B271" t="s">
        <v>25</v>
      </c>
      <c r="C271" s="1">
        <v>45672</v>
      </c>
      <c r="D271" t="s">
        <v>15</v>
      </c>
      <c r="E271" t="s">
        <v>16</v>
      </c>
      <c r="F271">
        <v>3774</v>
      </c>
      <c r="G271">
        <v>239</v>
      </c>
      <c r="H271">
        <v>39</v>
      </c>
      <c r="I271">
        <v>60384</v>
      </c>
      <c r="J271">
        <v>59490</v>
      </c>
      <c r="K271">
        <v>241</v>
      </c>
      <c r="L271" t="s">
        <v>52</v>
      </c>
      <c r="M271" t="s">
        <v>32</v>
      </c>
      <c r="N271">
        <v>6.71</v>
      </c>
      <c r="O271" s="1">
        <v>45570</v>
      </c>
      <c r="P271" s="1">
        <v>45601</v>
      </c>
      <c r="Q271" t="s">
        <v>417</v>
      </c>
    </row>
    <row r="272" spans="1:17">
      <c r="A272" t="s">
        <v>308</v>
      </c>
      <c r="B272" t="s">
        <v>27</v>
      </c>
      <c r="C272" s="1">
        <v>45582</v>
      </c>
      <c r="D272" t="s">
        <v>50</v>
      </c>
      <c r="E272" t="s">
        <v>51</v>
      </c>
      <c r="F272">
        <v>3575</v>
      </c>
      <c r="G272">
        <v>749</v>
      </c>
      <c r="H272">
        <v>111</v>
      </c>
      <c r="I272">
        <v>21450</v>
      </c>
      <c r="J272">
        <v>20785</v>
      </c>
      <c r="K272">
        <v>195</v>
      </c>
      <c r="L272" t="s">
        <v>52</v>
      </c>
      <c r="M272" t="s">
        <v>32</v>
      </c>
      <c r="N272">
        <v>20.68</v>
      </c>
      <c r="O272" s="1">
        <v>45570</v>
      </c>
      <c r="P272" s="1">
        <v>45601</v>
      </c>
      <c r="Q272" t="s">
        <v>418</v>
      </c>
    </row>
    <row r="273" spans="1:17">
      <c r="A273" t="s">
        <v>309</v>
      </c>
      <c r="B273" t="s">
        <v>27</v>
      </c>
      <c r="C273" s="1">
        <v>45743</v>
      </c>
      <c r="D273" t="s">
        <v>20</v>
      </c>
      <c r="E273" t="s">
        <v>21</v>
      </c>
      <c r="F273">
        <v>4941</v>
      </c>
      <c r="G273">
        <v>414</v>
      </c>
      <c r="H273">
        <v>266</v>
      </c>
      <c r="I273">
        <v>39528</v>
      </c>
      <c r="J273">
        <v>39154</v>
      </c>
      <c r="K273">
        <v>217</v>
      </c>
      <c r="L273" t="s">
        <v>17</v>
      </c>
      <c r="M273" t="s">
        <v>23</v>
      </c>
      <c r="N273">
        <v>14.22</v>
      </c>
      <c r="O273" s="1">
        <v>45453</v>
      </c>
      <c r="P273" s="1">
        <v>45478</v>
      </c>
      <c r="Q273" t="s">
        <v>417</v>
      </c>
    </row>
    <row r="274" spans="1:17">
      <c r="A274" t="s">
        <v>310</v>
      </c>
      <c r="B274" t="s">
        <v>25</v>
      </c>
      <c r="C274" s="1">
        <v>45577</v>
      </c>
      <c r="D274" t="s">
        <v>28</v>
      </c>
      <c r="E274" t="s">
        <v>29</v>
      </c>
      <c r="F274">
        <v>3641</v>
      </c>
      <c r="G274">
        <v>226</v>
      </c>
      <c r="H274">
        <v>46</v>
      </c>
      <c r="I274">
        <v>40051</v>
      </c>
      <c r="J274">
        <v>39319</v>
      </c>
      <c r="K274">
        <v>296</v>
      </c>
      <c r="L274" t="s">
        <v>37</v>
      </c>
      <c r="M274" t="s">
        <v>23</v>
      </c>
      <c r="N274">
        <v>9.77</v>
      </c>
      <c r="O274" s="1">
        <v>45453</v>
      </c>
      <c r="P274" s="1">
        <v>45478</v>
      </c>
      <c r="Q274" t="s">
        <v>417</v>
      </c>
    </row>
    <row r="275" spans="1:17">
      <c r="A275" t="s">
        <v>311</v>
      </c>
      <c r="B275" t="s">
        <v>14</v>
      </c>
      <c r="C275" s="1">
        <v>45658</v>
      </c>
      <c r="D275" t="s">
        <v>35</v>
      </c>
      <c r="E275" t="s">
        <v>36</v>
      </c>
      <c r="F275">
        <v>3535</v>
      </c>
      <c r="G275">
        <v>494</v>
      </c>
      <c r="H275">
        <v>152</v>
      </c>
      <c r="I275">
        <v>53025</v>
      </c>
      <c r="J275">
        <v>52791</v>
      </c>
      <c r="K275">
        <v>44</v>
      </c>
      <c r="L275" t="s">
        <v>374</v>
      </c>
      <c r="M275" t="s">
        <v>23</v>
      </c>
      <c r="N275">
        <v>7.88</v>
      </c>
      <c r="O275" s="1">
        <v>45453</v>
      </c>
      <c r="P275" s="1">
        <v>45478</v>
      </c>
      <c r="Q275" t="s">
        <v>417</v>
      </c>
    </row>
    <row r="276" spans="1:17">
      <c r="A276" t="s">
        <v>312</v>
      </c>
      <c r="B276" t="s">
        <v>34</v>
      </c>
      <c r="C276" s="1">
        <v>45509</v>
      </c>
      <c r="D276" t="s">
        <v>15</v>
      </c>
      <c r="E276" t="s">
        <v>16</v>
      </c>
      <c r="F276">
        <v>1741</v>
      </c>
      <c r="G276">
        <v>831</v>
      </c>
      <c r="H276">
        <v>345</v>
      </c>
      <c r="I276">
        <v>17410</v>
      </c>
      <c r="J276">
        <v>16844</v>
      </c>
      <c r="K276">
        <v>58</v>
      </c>
      <c r="L276" t="s">
        <v>361</v>
      </c>
      <c r="M276" t="s">
        <v>44</v>
      </c>
      <c r="N276">
        <v>16.75</v>
      </c>
      <c r="O276" s="1">
        <v>45667</v>
      </c>
      <c r="P276" s="1">
        <v>45698</v>
      </c>
      <c r="Q276" t="s">
        <v>419</v>
      </c>
    </row>
    <row r="277" spans="1:17">
      <c r="A277" t="s">
        <v>313</v>
      </c>
      <c r="B277" t="s">
        <v>14</v>
      </c>
      <c r="C277" s="1">
        <v>45450</v>
      </c>
      <c r="D277" t="s">
        <v>35</v>
      </c>
      <c r="E277" t="s">
        <v>36</v>
      </c>
      <c r="F277">
        <v>1556</v>
      </c>
      <c r="G277">
        <v>195</v>
      </c>
      <c r="H277">
        <v>131</v>
      </c>
      <c r="I277">
        <v>9336</v>
      </c>
      <c r="J277">
        <v>8875</v>
      </c>
      <c r="K277">
        <v>137</v>
      </c>
      <c r="L277" t="s">
        <v>22</v>
      </c>
      <c r="M277" t="s">
        <v>23</v>
      </c>
      <c r="N277">
        <v>20.16</v>
      </c>
      <c r="O277" s="1">
        <v>45453</v>
      </c>
      <c r="P277" s="1">
        <v>45478</v>
      </c>
      <c r="Q277" t="s">
        <v>419</v>
      </c>
    </row>
    <row r="278" spans="1:17">
      <c r="A278" t="s">
        <v>314</v>
      </c>
      <c r="B278" t="s">
        <v>34</v>
      </c>
      <c r="C278" s="1">
        <v>45753</v>
      </c>
      <c r="D278" t="s">
        <v>40</v>
      </c>
      <c r="E278" t="s">
        <v>41</v>
      </c>
      <c r="F278">
        <v>4236</v>
      </c>
      <c r="G278">
        <v>711</v>
      </c>
      <c r="H278">
        <v>298</v>
      </c>
      <c r="I278">
        <v>21180</v>
      </c>
      <c r="J278">
        <v>20516</v>
      </c>
      <c r="K278">
        <v>238</v>
      </c>
      <c r="L278" t="s">
        <v>373</v>
      </c>
      <c r="M278" t="s">
        <v>44</v>
      </c>
      <c r="N278">
        <v>24.76</v>
      </c>
      <c r="O278" s="1">
        <v>45667</v>
      </c>
      <c r="P278" s="1">
        <v>45698</v>
      </c>
      <c r="Q278" t="s">
        <v>417</v>
      </c>
    </row>
    <row r="279" spans="1:17">
      <c r="A279" t="s">
        <v>315</v>
      </c>
      <c r="B279" t="s">
        <v>14</v>
      </c>
      <c r="C279" s="1">
        <v>45622</v>
      </c>
      <c r="D279" t="s">
        <v>20</v>
      </c>
      <c r="E279" t="s">
        <v>21</v>
      </c>
      <c r="F279">
        <v>4516</v>
      </c>
      <c r="G279">
        <v>836</v>
      </c>
      <c r="H279">
        <v>169</v>
      </c>
      <c r="I279">
        <v>49676</v>
      </c>
      <c r="J279">
        <v>49257</v>
      </c>
      <c r="K279">
        <v>282</v>
      </c>
      <c r="L279" t="s">
        <v>37</v>
      </c>
      <c r="M279" t="s">
        <v>18</v>
      </c>
      <c r="N279">
        <v>11.11</v>
      </c>
      <c r="O279" s="1">
        <v>45505</v>
      </c>
      <c r="P279" s="1">
        <v>45535</v>
      </c>
      <c r="Q279" t="s">
        <v>417</v>
      </c>
    </row>
    <row r="280" spans="1:17">
      <c r="A280" t="s">
        <v>316</v>
      </c>
      <c r="B280" t="s">
        <v>25</v>
      </c>
      <c r="C280" s="1">
        <v>45537</v>
      </c>
      <c r="D280" t="s">
        <v>40</v>
      </c>
      <c r="E280" t="s">
        <v>41</v>
      </c>
      <c r="F280">
        <v>4905</v>
      </c>
      <c r="G280">
        <v>845</v>
      </c>
      <c r="H280">
        <v>129</v>
      </c>
      <c r="I280">
        <v>98100</v>
      </c>
      <c r="J280">
        <v>97772</v>
      </c>
      <c r="K280">
        <v>279</v>
      </c>
      <c r="L280" t="s">
        <v>37</v>
      </c>
      <c r="M280" t="s">
        <v>44</v>
      </c>
      <c r="N280">
        <v>5.99</v>
      </c>
      <c r="O280" s="1">
        <v>45667</v>
      </c>
      <c r="P280" s="1">
        <v>45698</v>
      </c>
      <c r="Q280" t="s">
        <v>419</v>
      </c>
    </row>
    <row r="281" spans="1:17">
      <c r="A281" t="s">
        <v>317</v>
      </c>
      <c r="B281" t="s">
        <v>25</v>
      </c>
      <c r="C281" s="1">
        <v>45586</v>
      </c>
      <c r="D281" t="s">
        <v>50</v>
      </c>
      <c r="E281" t="s">
        <v>51</v>
      </c>
      <c r="F281">
        <v>4275</v>
      </c>
      <c r="G281">
        <v>680</v>
      </c>
      <c r="H281">
        <v>385</v>
      </c>
      <c r="I281">
        <v>64125</v>
      </c>
      <c r="J281">
        <v>63650</v>
      </c>
      <c r="K281">
        <v>104</v>
      </c>
      <c r="L281" t="s">
        <v>31</v>
      </c>
      <c r="M281" t="s">
        <v>44</v>
      </c>
      <c r="N281">
        <v>8.33</v>
      </c>
      <c r="O281" s="1">
        <v>45667</v>
      </c>
      <c r="P281" s="1">
        <v>45698</v>
      </c>
      <c r="Q281" t="s">
        <v>419</v>
      </c>
    </row>
    <row r="282" spans="1:17">
      <c r="A282" t="s">
        <v>318</v>
      </c>
      <c r="B282" t="s">
        <v>25</v>
      </c>
      <c r="C282" s="1">
        <v>45738</v>
      </c>
      <c r="D282" t="s">
        <v>40</v>
      </c>
      <c r="E282" t="s">
        <v>41</v>
      </c>
      <c r="F282">
        <v>3166</v>
      </c>
      <c r="G282">
        <v>90</v>
      </c>
      <c r="H282">
        <v>341</v>
      </c>
      <c r="I282">
        <v>56988</v>
      </c>
      <c r="J282">
        <v>56125</v>
      </c>
      <c r="K282">
        <v>135</v>
      </c>
      <c r="L282" t="s">
        <v>370</v>
      </c>
      <c r="M282" t="s">
        <v>23</v>
      </c>
      <c r="N282">
        <v>6.31</v>
      </c>
      <c r="O282" s="1">
        <v>45453</v>
      </c>
      <c r="P282" s="1">
        <v>45478</v>
      </c>
      <c r="Q282" t="s">
        <v>417</v>
      </c>
    </row>
    <row r="283" spans="1:17">
      <c r="A283" t="s">
        <v>319</v>
      </c>
      <c r="B283" t="s">
        <v>27</v>
      </c>
      <c r="C283" s="1">
        <v>45568</v>
      </c>
      <c r="D283" t="s">
        <v>50</v>
      </c>
      <c r="E283" t="s">
        <v>51</v>
      </c>
      <c r="F283">
        <v>1488</v>
      </c>
      <c r="G283">
        <v>417</v>
      </c>
      <c r="H283">
        <v>168</v>
      </c>
      <c r="I283">
        <v>19344</v>
      </c>
      <c r="J283">
        <v>18395</v>
      </c>
      <c r="K283">
        <v>30</v>
      </c>
      <c r="L283" t="s">
        <v>17</v>
      </c>
      <c r="M283" t="s">
        <v>18</v>
      </c>
      <c r="N283">
        <v>10.72</v>
      </c>
      <c r="O283" s="1">
        <v>45505</v>
      </c>
      <c r="P283" s="1">
        <v>45535</v>
      </c>
      <c r="Q283" t="s">
        <v>417</v>
      </c>
    </row>
    <row r="284" spans="1:17">
      <c r="A284" t="s">
        <v>320</v>
      </c>
      <c r="B284" t="s">
        <v>14</v>
      </c>
      <c r="C284" s="1">
        <v>45786</v>
      </c>
      <c r="D284" t="s">
        <v>15</v>
      </c>
      <c r="E284" t="s">
        <v>16</v>
      </c>
      <c r="F284">
        <v>3367</v>
      </c>
      <c r="G284">
        <v>302</v>
      </c>
      <c r="H284">
        <v>57</v>
      </c>
      <c r="I284">
        <v>63973</v>
      </c>
      <c r="J284">
        <v>63789</v>
      </c>
      <c r="K284">
        <v>157</v>
      </c>
      <c r="L284" t="s">
        <v>366</v>
      </c>
      <c r="M284" t="s">
        <v>32</v>
      </c>
      <c r="N284">
        <v>5.82</v>
      </c>
      <c r="O284" s="1">
        <v>45570</v>
      </c>
      <c r="P284" s="1">
        <v>45601</v>
      </c>
      <c r="Q284" t="s">
        <v>417</v>
      </c>
    </row>
    <row r="285" spans="1:17">
      <c r="A285" t="s">
        <v>321</v>
      </c>
      <c r="B285" t="s">
        <v>14</v>
      </c>
      <c r="C285" s="1">
        <v>45552</v>
      </c>
      <c r="D285" t="s">
        <v>20</v>
      </c>
      <c r="E285" t="s">
        <v>21</v>
      </c>
      <c r="F285">
        <v>571</v>
      </c>
      <c r="G285">
        <v>190</v>
      </c>
      <c r="H285">
        <v>352</v>
      </c>
      <c r="I285">
        <v>9707</v>
      </c>
      <c r="J285">
        <v>9418</v>
      </c>
      <c r="K285">
        <v>231</v>
      </c>
      <c r="L285" t="s">
        <v>52</v>
      </c>
      <c r="M285" t="s">
        <v>23</v>
      </c>
      <c r="N285">
        <v>11.47</v>
      </c>
      <c r="O285" s="1">
        <v>45453</v>
      </c>
      <c r="P285" s="1">
        <v>45478</v>
      </c>
      <c r="Q285" t="s">
        <v>417</v>
      </c>
    </row>
    <row r="286" spans="1:17">
      <c r="A286" t="s">
        <v>322</v>
      </c>
      <c r="B286" t="s">
        <v>25</v>
      </c>
      <c r="C286" s="1">
        <v>45491</v>
      </c>
      <c r="D286" t="s">
        <v>20</v>
      </c>
      <c r="E286" t="s">
        <v>21</v>
      </c>
      <c r="F286">
        <v>4021</v>
      </c>
      <c r="G286">
        <v>794</v>
      </c>
      <c r="H286">
        <v>77</v>
      </c>
      <c r="I286">
        <v>36189</v>
      </c>
      <c r="J286">
        <v>35505</v>
      </c>
      <c r="K286">
        <v>174</v>
      </c>
      <c r="L286" t="s">
        <v>375</v>
      </c>
      <c r="M286" t="s">
        <v>18</v>
      </c>
      <c r="N286">
        <v>13.52</v>
      </c>
      <c r="O286" s="1">
        <v>45505</v>
      </c>
      <c r="P286" s="1">
        <v>45535</v>
      </c>
      <c r="Q286" t="s">
        <v>419</v>
      </c>
    </row>
    <row r="287" spans="1:17">
      <c r="A287" t="s">
        <v>323</v>
      </c>
      <c r="B287" t="s">
        <v>25</v>
      </c>
      <c r="C287" s="1">
        <v>45560</v>
      </c>
      <c r="D287" t="s">
        <v>50</v>
      </c>
      <c r="E287" t="s">
        <v>51</v>
      </c>
      <c r="F287">
        <v>3389</v>
      </c>
      <c r="G287">
        <v>344</v>
      </c>
      <c r="H287">
        <v>229</v>
      </c>
      <c r="I287">
        <v>20334</v>
      </c>
      <c r="J287">
        <v>19443</v>
      </c>
      <c r="K287">
        <v>228</v>
      </c>
      <c r="L287" t="s">
        <v>357</v>
      </c>
      <c r="M287" t="s">
        <v>23</v>
      </c>
      <c r="N287">
        <v>19.48</v>
      </c>
      <c r="O287" s="1">
        <v>45453</v>
      </c>
      <c r="P287" s="1">
        <v>45478</v>
      </c>
      <c r="Q287" t="s">
        <v>417</v>
      </c>
    </row>
    <row r="288" spans="1:17">
      <c r="A288" t="s">
        <v>324</v>
      </c>
      <c r="B288" t="s">
        <v>27</v>
      </c>
      <c r="C288" s="1">
        <v>45519</v>
      </c>
      <c r="D288" t="s">
        <v>15</v>
      </c>
      <c r="E288" t="s">
        <v>16</v>
      </c>
      <c r="F288">
        <v>1164</v>
      </c>
      <c r="G288">
        <v>616</v>
      </c>
      <c r="H288">
        <v>324</v>
      </c>
      <c r="I288">
        <v>6984</v>
      </c>
      <c r="J288">
        <v>6636</v>
      </c>
      <c r="K288">
        <v>82</v>
      </c>
      <c r="L288" t="s">
        <v>376</v>
      </c>
      <c r="M288" t="s">
        <v>32</v>
      </c>
      <c r="N288">
        <v>30.13</v>
      </c>
      <c r="O288" s="1">
        <v>45570</v>
      </c>
      <c r="P288" s="1">
        <v>45601</v>
      </c>
      <c r="Q288" t="s">
        <v>419</v>
      </c>
    </row>
    <row r="289" spans="1:17">
      <c r="A289" t="s">
        <v>325</v>
      </c>
      <c r="B289" t="s">
        <v>25</v>
      </c>
      <c r="C289" s="1">
        <v>45764</v>
      </c>
      <c r="D289" t="s">
        <v>35</v>
      </c>
      <c r="E289" t="s">
        <v>36</v>
      </c>
      <c r="F289">
        <v>4780</v>
      </c>
      <c r="G289">
        <v>691</v>
      </c>
      <c r="H289">
        <v>380</v>
      </c>
      <c r="I289">
        <v>86040</v>
      </c>
      <c r="J289">
        <v>85743</v>
      </c>
      <c r="K289">
        <v>262</v>
      </c>
      <c r="L289" t="s">
        <v>361</v>
      </c>
      <c r="M289" t="s">
        <v>32</v>
      </c>
      <c r="N289">
        <v>6.8</v>
      </c>
      <c r="O289" s="1">
        <v>45570</v>
      </c>
      <c r="P289" s="1">
        <v>45601</v>
      </c>
      <c r="Q289" t="s">
        <v>417</v>
      </c>
    </row>
    <row r="290" spans="1:17">
      <c r="A290" t="s">
        <v>326</v>
      </c>
      <c r="B290" t="s">
        <v>34</v>
      </c>
      <c r="C290" s="1">
        <v>45624</v>
      </c>
      <c r="D290" t="s">
        <v>35</v>
      </c>
      <c r="E290" t="s">
        <v>36</v>
      </c>
      <c r="F290">
        <v>2751</v>
      </c>
      <c r="G290">
        <v>33</v>
      </c>
      <c r="H290">
        <v>430</v>
      </c>
      <c r="I290">
        <v>44016</v>
      </c>
      <c r="J290">
        <v>43415</v>
      </c>
      <c r="K290">
        <v>129</v>
      </c>
      <c r="L290" t="s">
        <v>374</v>
      </c>
      <c r="M290" t="s">
        <v>23</v>
      </c>
      <c r="N290">
        <v>7.3</v>
      </c>
      <c r="O290" s="1">
        <v>45453</v>
      </c>
      <c r="P290" s="1">
        <v>45478</v>
      </c>
      <c r="Q290" t="s">
        <v>417</v>
      </c>
    </row>
    <row r="291" spans="1:17">
      <c r="A291" t="s">
        <v>327</v>
      </c>
      <c r="B291" t="s">
        <v>27</v>
      </c>
      <c r="C291" s="1">
        <v>45646</v>
      </c>
      <c r="D291" t="s">
        <v>35</v>
      </c>
      <c r="E291" t="s">
        <v>36</v>
      </c>
      <c r="F291">
        <v>2107</v>
      </c>
      <c r="G291">
        <v>550</v>
      </c>
      <c r="H291">
        <v>349</v>
      </c>
      <c r="I291">
        <v>35819</v>
      </c>
      <c r="J291">
        <v>35340</v>
      </c>
      <c r="K291">
        <v>191</v>
      </c>
      <c r="L291" t="s">
        <v>37</v>
      </c>
      <c r="M291" t="s">
        <v>32</v>
      </c>
      <c r="N291">
        <v>8.39</v>
      </c>
      <c r="O291" s="1">
        <v>45570</v>
      </c>
      <c r="P291" s="1">
        <v>45601</v>
      </c>
      <c r="Q291" t="s">
        <v>417</v>
      </c>
    </row>
    <row r="292" spans="1:17">
      <c r="A292" t="s">
        <v>328</v>
      </c>
      <c r="B292" t="s">
        <v>34</v>
      </c>
      <c r="C292" s="1">
        <v>45602</v>
      </c>
      <c r="D292" t="s">
        <v>50</v>
      </c>
      <c r="E292" t="s">
        <v>51</v>
      </c>
      <c r="F292">
        <v>4663</v>
      </c>
      <c r="G292">
        <v>145</v>
      </c>
      <c r="H292">
        <v>225</v>
      </c>
      <c r="I292">
        <v>69945</v>
      </c>
      <c r="J292">
        <v>69596</v>
      </c>
      <c r="K292">
        <v>35</v>
      </c>
      <c r="L292" t="s">
        <v>22</v>
      </c>
      <c r="M292" t="s">
        <v>23</v>
      </c>
      <c r="N292">
        <v>7.2</v>
      </c>
      <c r="O292" s="1">
        <v>45453</v>
      </c>
      <c r="P292" s="1">
        <v>45478</v>
      </c>
      <c r="Q292" t="s">
        <v>417</v>
      </c>
    </row>
    <row r="293" spans="1:17">
      <c r="A293" t="s">
        <v>329</v>
      </c>
      <c r="B293" t="s">
        <v>34</v>
      </c>
      <c r="C293" s="1">
        <v>45613</v>
      </c>
      <c r="D293" t="s">
        <v>20</v>
      </c>
      <c r="E293" t="s">
        <v>21</v>
      </c>
      <c r="F293">
        <v>880</v>
      </c>
      <c r="G293">
        <v>297</v>
      </c>
      <c r="H293">
        <v>345</v>
      </c>
      <c r="I293">
        <v>12320</v>
      </c>
      <c r="J293">
        <v>11978</v>
      </c>
      <c r="K293">
        <v>238</v>
      </c>
      <c r="L293" t="s">
        <v>17</v>
      </c>
      <c r="M293" t="s">
        <v>23</v>
      </c>
      <c r="N293">
        <v>12.35</v>
      </c>
      <c r="O293" s="1">
        <v>45453</v>
      </c>
      <c r="P293" s="1">
        <v>45478</v>
      </c>
      <c r="Q293" t="s">
        <v>417</v>
      </c>
    </row>
    <row r="294" spans="1:17">
      <c r="A294" t="s">
        <v>330</v>
      </c>
      <c r="B294" t="s">
        <v>34</v>
      </c>
      <c r="C294" s="1">
        <v>45791</v>
      </c>
      <c r="D294" t="s">
        <v>20</v>
      </c>
      <c r="E294" t="s">
        <v>21</v>
      </c>
      <c r="F294">
        <v>2634</v>
      </c>
      <c r="G294">
        <v>726</v>
      </c>
      <c r="H294">
        <v>241</v>
      </c>
      <c r="I294">
        <v>28974</v>
      </c>
      <c r="J294">
        <v>28102</v>
      </c>
      <c r="K294">
        <v>277</v>
      </c>
      <c r="L294" t="s">
        <v>31</v>
      </c>
      <c r="M294" t="s">
        <v>32</v>
      </c>
      <c r="N294">
        <v>12.43</v>
      </c>
      <c r="O294" s="1">
        <v>45570</v>
      </c>
      <c r="P294" s="1">
        <v>45601</v>
      </c>
      <c r="Q294" t="s">
        <v>417</v>
      </c>
    </row>
    <row r="295" spans="1:17">
      <c r="A295" t="s">
        <v>331</v>
      </c>
      <c r="B295" t="s">
        <v>34</v>
      </c>
      <c r="C295" s="1">
        <v>45462</v>
      </c>
      <c r="D295" t="s">
        <v>35</v>
      </c>
      <c r="E295" t="s">
        <v>36</v>
      </c>
      <c r="F295">
        <v>4731</v>
      </c>
      <c r="G295">
        <v>173</v>
      </c>
      <c r="H295">
        <v>276</v>
      </c>
      <c r="I295">
        <v>28386</v>
      </c>
      <c r="J295">
        <v>28185</v>
      </c>
      <c r="K295">
        <v>89</v>
      </c>
      <c r="L295" t="s">
        <v>366</v>
      </c>
      <c r="M295" t="s">
        <v>44</v>
      </c>
      <c r="N295">
        <v>18.25</v>
      </c>
      <c r="O295" s="1">
        <v>45667</v>
      </c>
      <c r="P295" s="1">
        <v>45698</v>
      </c>
      <c r="Q295" t="s">
        <v>419</v>
      </c>
    </row>
    <row r="296" spans="1:17">
      <c r="A296" t="s">
        <v>332</v>
      </c>
      <c r="B296" t="s">
        <v>14</v>
      </c>
      <c r="C296" s="1">
        <v>45783</v>
      </c>
      <c r="D296" t="s">
        <v>40</v>
      </c>
      <c r="E296" t="s">
        <v>41</v>
      </c>
      <c r="F296">
        <v>1952</v>
      </c>
      <c r="G296">
        <v>344</v>
      </c>
      <c r="H296">
        <v>287</v>
      </c>
      <c r="I296">
        <v>15616</v>
      </c>
      <c r="J296">
        <v>15403</v>
      </c>
      <c r="K296">
        <v>235</v>
      </c>
      <c r="L296" t="s">
        <v>360</v>
      </c>
      <c r="M296" t="s">
        <v>32</v>
      </c>
      <c r="N296">
        <v>16.54</v>
      </c>
      <c r="O296" s="1">
        <v>45570</v>
      </c>
      <c r="P296" s="1">
        <v>45601</v>
      </c>
      <c r="Q296" t="s">
        <v>417</v>
      </c>
    </row>
    <row r="297" spans="1:17">
      <c r="A297" t="s">
        <v>333</v>
      </c>
      <c r="B297" t="s">
        <v>14</v>
      </c>
      <c r="C297" s="1">
        <v>45699</v>
      </c>
      <c r="D297" t="s">
        <v>50</v>
      </c>
      <c r="E297" t="s">
        <v>51</v>
      </c>
      <c r="F297">
        <v>3440</v>
      </c>
      <c r="G297">
        <v>13</v>
      </c>
      <c r="H297">
        <v>20</v>
      </c>
      <c r="I297">
        <v>58480</v>
      </c>
      <c r="J297">
        <v>58146</v>
      </c>
      <c r="K297">
        <v>210</v>
      </c>
      <c r="L297" t="s">
        <v>361</v>
      </c>
      <c r="M297" t="s">
        <v>18</v>
      </c>
      <c r="N297">
        <v>5.94</v>
      </c>
      <c r="O297" s="1">
        <v>45505</v>
      </c>
      <c r="P297" s="1">
        <v>45535</v>
      </c>
      <c r="Q297" t="s">
        <v>417</v>
      </c>
    </row>
    <row r="298" spans="1:17">
      <c r="A298" t="s">
        <v>334</v>
      </c>
      <c r="B298" t="s">
        <v>14</v>
      </c>
      <c r="C298" s="1">
        <v>45650</v>
      </c>
      <c r="D298" t="s">
        <v>20</v>
      </c>
      <c r="E298" t="s">
        <v>21</v>
      </c>
      <c r="F298">
        <v>2166</v>
      </c>
      <c r="G298">
        <v>354</v>
      </c>
      <c r="H298">
        <v>117</v>
      </c>
      <c r="I298">
        <v>10830</v>
      </c>
      <c r="J298">
        <v>10245</v>
      </c>
      <c r="K298">
        <v>24</v>
      </c>
      <c r="L298" t="s">
        <v>364</v>
      </c>
      <c r="M298" t="s">
        <v>18</v>
      </c>
      <c r="N298">
        <v>24.35</v>
      </c>
      <c r="O298" s="1">
        <v>45505</v>
      </c>
      <c r="P298" s="1">
        <v>45535</v>
      </c>
      <c r="Q298" t="s">
        <v>417</v>
      </c>
    </row>
    <row r="299" spans="1:17">
      <c r="A299" t="s">
        <v>335</v>
      </c>
      <c r="B299" t="s">
        <v>34</v>
      </c>
      <c r="C299" s="1">
        <v>45589</v>
      </c>
      <c r="D299" t="s">
        <v>40</v>
      </c>
      <c r="E299" t="s">
        <v>41</v>
      </c>
      <c r="F299">
        <v>4303</v>
      </c>
      <c r="G299">
        <v>451</v>
      </c>
      <c r="H299">
        <v>286</v>
      </c>
      <c r="I299">
        <v>86060</v>
      </c>
      <c r="J299">
        <v>85823</v>
      </c>
      <c r="K299">
        <v>14</v>
      </c>
      <c r="L299" t="s">
        <v>17</v>
      </c>
      <c r="M299" t="s">
        <v>23</v>
      </c>
      <c r="N299">
        <v>5.86</v>
      </c>
      <c r="O299" s="1">
        <v>45453</v>
      </c>
      <c r="P299" s="1">
        <v>45478</v>
      </c>
      <c r="Q299" t="s">
        <v>417</v>
      </c>
    </row>
    <row r="300" spans="1:17">
      <c r="A300" t="s">
        <v>336</v>
      </c>
      <c r="B300" t="s">
        <v>34</v>
      </c>
      <c r="C300" s="1">
        <v>45530</v>
      </c>
      <c r="D300" t="s">
        <v>40</v>
      </c>
      <c r="E300" t="s">
        <v>41</v>
      </c>
      <c r="F300">
        <v>2581</v>
      </c>
      <c r="G300">
        <v>517</v>
      </c>
      <c r="H300">
        <v>117</v>
      </c>
      <c r="I300">
        <v>23229</v>
      </c>
      <c r="J300">
        <v>22331</v>
      </c>
      <c r="K300">
        <v>70</v>
      </c>
      <c r="L300" t="s">
        <v>363</v>
      </c>
      <c r="M300" t="s">
        <v>23</v>
      </c>
      <c r="N300">
        <v>13.84</v>
      </c>
      <c r="O300" s="1">
        <v>45453</v>
      </c>
      <c r="P300" s="1">
        <v>45478</v>
      </c>
      <c r="Q300" t="s">
        <v>417</v>
      </c>
    </row>
    <row r="301" spans="1:17">
      <c r="A301" t="s">
        <v>337</v>
      </c>
      <c r="B301" t="s">
        <v>14</v>
      </c>
      <c r="C301" s="1">
        <v>45535</v>
      </c>
      <c r="D301" t="s">
        <v>35</v>
      </c>
      <c r="E301" t="s">
        <v>36</v>
      </c>
      <c r="F301">
        <v>4494</v>
      </c>
      <c r="G301">
        <v>717</v>
      </c>
      <c r="H301">
        <v>45</v>
      </c>
      <c r="I301">
        <v>62916</v>
      </c>
      <c r="J301">
        <v>62688</v>
      </c>
      <c r="K301">
        <v>191</v>
      </c>
      <c r="L301" t="s">
        <v>22</v>
      </c>
      <c r="M301" t="s">
        <v>18</v>
      </c>
      <c r="N301">
        <v>8.35</v>
      </c>
      <c r="O301" s="1">
        <v>45505</v>
      </c>
      <c r="P301" s="1">
        <v>45535</v>
      </c>
      <c r="Q301" t="s">
        <v>418</v>
      </c>
    </row>
    <row r="302" spans="1:17">
      <c r="C302" s="1"/>
    </row>
  </sheetData>
  <phoneticPr fontId="5"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8AF2E-1033-4E96-9B5C-B9BBF13A27F6}">
  <dimension ref="A1:J204"/>
  <sheetViews>
    <sheetView topLeftCell="D1" workbookViewId="0">
      <selection activeCell="L15" sqref="L15"/>
    </sheetView>
  </sheetViews>
  <sheetFormatPr defaultRowHeight="14.25"/>
  <cols>
    <col min="1" max="1" width="18.875" bestFit="1" customWidth="1"/>
    <col min="2" max="2" width="11" bestFit="1" customWidth="1"/>
    <col min="3" max="3" width="17" bestFit="1" customWidth="1"/>
    <col min="4" max="4" width="12.25" bestFit="1" customWidth="1"/>
    <col min="5" max="5" width="17.375" bestFit="1" customWidth="1"/>
    <col min="6" max="7" width="19.75" bestFit="1" customWidth="1"/>
    <col min="8" max="9" width="23.375" bestFit="1" customWidth="1"/>
    <col min="10" max="10" width="17" bestFit="1" customWidth="1"/>
  </cols>
  <sheetData>
    <row r="1" spans="1:10">
      <c r="A1" t="s">
        <v>338</v>
      </c>
      <c r="B1" t="s">
        <v>1</v>
      </c>
      <c r="C1" t="s">
        <v>339</v>
      </c>
      <c r="D1" t="s">
        <v>340</v>
      </c>
      <c r="E1" t="s">
        <v>428</v>
      </c>
      <c r="F1" t="s">
        <v>341</v>
      </c>
      <c r="G1" t="s">
        <v>342</v>
      </c>
      <c r="H1" t="s">
        <v>343</v>
      </c>
      <c r="I1" t="s">
        <v>439</v>
      </c>
      <c r="J1" t="s">
        <v>425</v>
      </c>
    </row>
    <row r="2" spans="1:10">
      <c r="A2" s="1">
        <v>45446</v>
      </c>
      <c r="B2" t="s">
        <v>27</v>
      </c>
      <c r="C2">
        <v>1135</v>
      </c>
      <c r="D2">
        <v>88</v>
      </c>
      <c r="E2">
        <f>Engagment_Summary[[#This Row],[New_Followers]]-Engagment_Summary[[#This Row],[Unfollows]]</f>
        <v>1047</v>
      </c>
      <c r="F2">
        <v>344084</v>
      </c>
      <c r="G2" s="35">
        <v>8.06</v>
      </c>
      <c r="H2">
        <v>5904</v>
      </c>
      <c r="I2" s="35">
        <v>0.30428616268120601</v>
      </c>
      <c r="J2" t="str" cm="1">
        <f t="array" ref="J2">IFERROR(INDEX('Campaign Data'!$A$2:$A$5,MATCH(1,(A2&gt;='Campaign Data'!$B$2:$B$5)*(A2&lt;='Campaign Data'!$C$2:$C$5),0)),"outside campaign")</f>
        <v>outside campaign</v>
      </c>
    </row>
    <row r="3" spans="1:10">
      <c r="A3" s="1">
        <v>45446</v>
      </c>
      <c r="B3" t="s">
        <v>34</v>
      </c>
      <c r="C3">
        <v>1312</v>
      </c>
      <c r="D3">
        <v>310</v>
      </c>
      <c r="E3">
        <f>Engagment_Summary[[#This Row],[New_Followers]]-Engagment_Summary[[#This Row],[Unfollows]]</f>
        <v>1002</v>
      </c>
      <c r="F3">
        <v>42654</v>
      </c>
      <c r="G3" s="35">
        <v>4.9800000000000004</v>
      </c>
      <c r="H3">
        <v>9566</v>
      </c>
      <c r="I3" s="35">
        <v>2.3491348994232664</v>
      </c>
      <c r="J3" t="str" cm="1">
        <f t="array" ref="J3">IFERROR(INDEX('Campaign Data'!$A$2:$A$5,MATCH(1,(A3&gt;='Campaign Data'!$B$2:$B$5)*(A3&lt;='Campaign Data'!$C$2:$C$5),0)),"outside campaign")</f>
        <v>outside campaign</v>
      </c>
    </row>
    <row r="4" spans="1:10">
      <c r="A4" s="1">
        <v>45446</v>
      </c>
      <c r="B4" t="s">
        <v>14</v>
      </c>
      <c r="C4">
        <v>584</v>
      </c>
      <c r="D4">
        <v>169</v>
      </c>
      <c r="E4">
        <f>Engagment_Summary[[#This Row],[New_Followers]]-Engagment_Summary[[#This Row],[Unfollows]]</f>
        <v>415</v>
      </c>
      <c r="F4">
        <v>146834</v>
      </c>
      <c r="G4" s="35">
        <v>8.31</v>
      </c>
      <c r="H4">
        <v>26752</v>
      </c>
      <c r="I4" s="35">
        <v>0.28263208793603661</v>
      </c>
      <c r="J4" t="str" cm="1">
        <f t="array" ref="J4">IFERROR(INDEX('Campaign Data'!$A$2:$A$5,MATCH(1,(A4&gt;='Campaign Data'!$B$2:$B$5)*(A4&lt;='Campaign Data'!$C$2:$C$5),0)),"outside campaign")</f>
        <v>outside campaign</v>
      </c>
    </row>
    <row r="5" spans="1:10">
      <c r="A5" s="1">
        <v>45446</v>
      </c>
      <c r="B5" t="s">
        <v>25</v>
      </c>
      <c r="C5">
        <v>1535</v>
      </c>
      <c r="D5">
        <v>445</v>
      </c>
      <c r="E5">
        <f>Engagment_Summary[[#This Row],[New_Followers]]-Engagment_Summary[[#This Row],[Unfollows]]</f>
        <v>1090</v>
      </c>
      <c r="F5">
        <v>395536</v>
      </c>
      <c r="G5" s="35">
        <v>4.1100000000000003</v>
      </c>
      <c r="H5">
        <v>30671</v>
      </c>
      <c r="I5" s="35">
        <v>0.27557542170624166</v>
      </c>
      <c r="J5" t="str" cm="1">
        <f t="array" ref="J5">IFERROR(INDEX('Campaign Data'!$A$2:$A$5,MATCH(1,(A5&gt;='Campaign Data'!$B$2:$B$5)*(A5&lt;='Campaign Data'!$C$2:$C$5),0)),"outside campaign")</f>
        <v>outside campaign</v>
      </c>
    </row>
    <row r="6" spans="1:10">
      <c r="A6" s="1">
        <v>45453</v>
      </c>
      <c r="B6" t="s">
        <v>27</v>
      </c>
      <c r="C6">
        <v>656</v>
      </c>
      <c r="D6">
        <v>139</v>
      </c>
      <c r="E6">
        <f>Engagment_Summary[[#This Row],[New_Followers]]-Engagment_Summary[[#This Row],[Unfollows]]</f>
        <v>517</v>
      </c>
      <c r="F6">
        <v>49157</v>
      </c>
      <c r="G6" s="35">
        <v>9.0500000000000007</v>
      </c>
      <c r="H6">
        <v>9920</v>
      </c>
      <c r="I6" s="35">
        <v>1.0517322049758935</v>
      </c>
      <c r="J6" t="str" cm="1">
        <f t="array" ref="J6">IFERROR(INDEX('Campaign Data'!$A$2:$A$5,MATCH(1,(A6&gt;='Campaign Data'!$B$2:$B$5)*(A6&lt;='Campaign Data'!$C$2:$C$5),0)),"outside campaign")</f>
        <v>EndOfSeasonSale</v>
      </c>
    </row>
    <row r="7" spans="1:10">
      <c r="A7" s="1">
        <v>45453</v>
      </c>
      <c r="B7" t="s">
        <v>34</v>
      </c>
      <c r="C7">
        <v>1697</v>
      </c>
      <c r="D7">
        <v>414</v>
      </c>
      <c r="E7">
        <f>Engagment_Summary[[#This Row],[New_Followers]]-Engagment_Summary[[#This Row],[Unfollows]]</f>
        <v>1283</v>
      </c>
      <c r="F7">
        <v>316555</v>
      </c>
      <c r="G7" s="35">
        <v>2.37</v>
      </c>
      <c r="H7">
        <v>7924</v>
      </c>
      <c r="I7" s="35">
        <v>0.40530081660374973</v>
      </c>
      <c r="J7" t="str" cm="1">
        <f t="array" ref="J7">IFERROR(INDEX('Campaign Data'!$A$2:$A$5,MATCH(1,(A7&gt;='Campaign Data'!$B$2:$B$5)*(A7&lt;='Campaign Data'!$C$2:$C$5),0)),"outside campaign")</f>
        <v>EndOfSeasonSale</v>
      </c>
    </row>
    <row r="8" spans="1:10">
      <c r="A8" s="1">
        <v>45453</v>
      </c>
      <c r="B8" t="s">
        <v>14</v>
      </c>
      <c r="C8">
        <v>436</v>
      </c>
      <c r="D8">
        <v>250</v>
      </c>
      <c r="E8">
        <f>Engagment_Summary[[#This Row],[New_Followers]]-Engagment_Summary[[#This Row],[Unfollows]]</f>
        <v>186</v>
      </c>
      <c r="F8">
        <v>254347</v>
      </c>
      <c r="G8" s="35">
        <v>4.01</v>
      </c>
      <c r="H8">
        <v>8912</v>
      </c>
      <c r="I8" s="35">
        <v>7.3128442639386351E-2</v>
      </c>
      <c r="J8" t="str" cm="1">
        <f t="array" ref="J8">IFERROR(INDEX('Campaign Data'!$A$2:$A$5,MATCH(1,(A8&gt;='Campaign Data'!$B$2:$B$5)*(A8&lt;='Campaign Data'!$C$2:$C$5),0)),"outside campaign")</f>
        <v>EndOfSeasonSale</v>
      </c>
    </row>
    <row r="9" spans="1:10">
      <c r="A9" s="1">
        <v>45453</v>
      </c>
      <c r="B9" t="s">
        <v>25</v>
      </c>
      <c r="C9">
        <v>1197</v>
      </c>
      <c r="D9">
        <v>203</v>
      </c>
      <c r="E9">
        <f>Engagment_Summary[[#This Row],[New_Followers]]-Engagment_Summary[[#This Row],[Unfollows]]</f>
        <v>994</v>
      </c>
      <c r="F9">
        <v>413878</v>
      </c>
      <c r="G9" s="35">
        <v>3.16</v>
      </c>
      <c r="H9">
        <v>21205</v>
      </c>
      <c r="I9" s="35">
        <v>0.24016739232334167</v>
      </c>
      <c r="J9" t="str" cm="1">
        <f t="array" ref="J9">IFERROR(INDEX('Campaign Data'!$A$2:$A$5,MATCH(1,(A9&gt;='Campaign Data'!$B$2:$B$5)*(A9&lt;='Campaign Data'!$C$2:$C$5),0)),"outside campaign")</f>
        <v>EndOfSeasonSale</v>
      </c>
    </row>
    <row r="10" spans="1:10">
      <c r="A10" s="1">
        <v>45460</v>
      </c>
      <c r="B10" t="s">
        <v>27</v>
      </c>
      <c r="C10">
        <v>1048</v>
      </c>
      <c r="D10">
        <v>155</v>
      </c>
      <c r="E10">
        <f>Engagment_Summary[[#This Row],[New_Followers]]-Engagment_Summary[[#This Row],[Unfollows]]</f>
        <v>893</v>
      </c>
      <c r="F10">
        <v>456946</v>
      </c>
      <c r="G10" s="35">
        <v>2.46</v>
      </c>
      <c r="H10">
        <v>11329</v>
      </c>
      <c r="I10" s="35">
        <v>0.19542790614208244</v>
      </c>
      <c r="J10" t="str" cm="1">
        <f t="array" ref="J10">IFERROR(INDEX('Campaign Data'!$A$2:$A$5,MATCH(1,(A10&gt;='Campaign Data'!$B$2:$B$5)*(A10&lt;='Campaign Data'!$C$2:$C$5),0)),"outside campaign")</f>
        <v>EndOfSeasonSale</v>
      </c>
    </row>
    <row r="11" spans="1:10">
      <c r="A11" s="1">
        <v>45460</v>
      </c>
      <c r="B11" t="s">
        <v>34</v>
      </c>
      <c r="C11">
        <v>1753</v>
      </c>
      <c r="D11">
        <v>371</v>
      </c>
      <c r="E11">
        <f>Engagment_Summary[[#This Row],[New_Followers]]-Engagment_Summary[[#This Row],[Unfollows]]</f>
        <v>1382</v>
      </c>
      <c r="F11">
        <v>169496</v>
      </c>
      <c r="G11" s="35">
        <v>8.11</v>
      </c>
      <c r="H11">
        <v>46670</v>
      </c>
      <c r="I11" s="35">
        <v>0.8153584745362723</v>
      </c>
      <c r="J11" t="str" cm="1">
        <f t="array" ref="J11">IFERROR(INDEX('Campaign Data'!$A$2:$A$5,MATCH(1,(A11&gt;='Campaign Data'!$B$2:$B$5)*(A11&lt;='Campaign Data'!$C$2:$C$5),0)),"outside campaign")</f>
        <v>EndOfSeasonSale</v>
      </c>
    </row>
    <row r="12" spans="1:10">
      <c r="A12" s="1">
        <v>45460</v>
      </c>
      <c r="B12" t="s">
        <v>14</v>
      </c>
      <c r="C12">
        <v>1335</v>
      </c>
      <c r="D12">
        <v>40</v>
      </c>
      <c r="E12">
        <f>Engagment_Summary[[#This Row],[New_Followers]]-Engagment_Summary[[#This Row],[Unfollows]]</f>
        <v>1295</v>
      </c>
      <c r="F12">
        <v>122732</v>
      </c>
      <c r="G12" s="35">
        <v>8.19</v>
      </c>
      <c r="H12">
        <v>22482</v>
      </c>
      <c r="I12" s="35">
        <v>1.0551445425805821</v>
      </c>
      <c r="J12" t="str" cm="1">
        <f t="array" ref="J12">IFERROR(INDEX('Campaign Data'!$A$2:$A$5,MATCH(1,(A12&gt;='Campaign Data'!$B$2:$B$5)*(A12&lt;='Campaign Data'!$C$2:$C$5),0)),"outside campaign")</f>
        <v>EndOfSeasonSale</v>
      </c>
    </row>
    <row r="13" spans="1:10">
      <c r="A13" s="1">
        <v>45460</v>
      </c>
      <c r="B13" t="s">
        <v>25</v>
      </c>
      <c r="C13">
        <v>403</v>
      </c>
      <c r="D13">
        <v>66</v>
      </c>
      <c r="E13">
        <f>Engagment_Summary[[#This Row],[New_Followers]]-Engagment_Summary[[#This Row],[Unfollows]]</f>
        <v>337</v>
      </c>
      <c r="F13">
        <v>382851</v>
      </c>
      <c r="G13" s="35">
        <v>3.49</v>
      </c>
      <c r="H13">
        <v>24313</v>
      </c>
      <c r="I13" s="35">
        <v>8.8023800381871797E-2</v>
      </c>
      <c r="J13" t="str" cm="1">
        <f t="array" ref="J13">IFERROR(INDEX('Campaign Data'!$A$2:$A$5,MATCH(1,(A13&gt;='Campaign Data'!$B$2:$B$5)*(A13&lt;='Campaign Data'!$C$2:$C$5),0)),"outside campaign")</f>
        <v>EndOfSeasonSale</v>
      </c>
    </row>
    <row r="14" spans="1:10">
      <c r="A14" s="1">
        <v>45467</v>
      </c>
      <c r="B14" t="s">
        <v>27</v>
      </c>
      <c r="C14">
        <v>911</v>
      </c>
      <c r="D14">
        <v>282</v>
      </c>
      <c r="E14">
        <f>Engagment_Summary[[#This Row],[New_Followers]]-Engagment_Summary[[#This Row],[Unfollows]]</f>
        <v>629</v>
      </c>
      <c r="F14">
        <v>35664</v>
      </c>
      <c r="G14" s="35">
        <v>6.92</v>
      </c>
      <c r="H14">
        <v>18050</v>
      </c>
      <c r="I14" s="35">
        <v>1.7636832660385824</v>
      </c>
      <c r="J14" t="str" cm="1">
        <f t="array" ref="J14">IFERROR(INDEX('Campaign Data'!$A$2:$A$5,MATCH(1,(A14&gt;='Campaign Data'!$B$2:$B$5)*(A14&lt;='Campaign Data'!$C$2:$C$5),0)),"outside campaign")</f>
        <v>EndOfSeasonSale</v>
      </c>
    </row>
    <row r="15" spans="1:10">
      <c r="A15" s="1">
        <v>45467</v>
      </c>
      <c r="B15" t="s">
        <v>34</v>
      </c>
      <c r="C15">
        <v>1779</v>
      </c>
      <c r="D15">
        <v>109</v>
      </c>
      <c r="E15">
        <f>Engagment_Summary[[#This Row],[New_Followers]]-Engagment_Summary[[#This Row],[Unfollows]]</f>
        <v>1670</v>
      </c>
      <c r="F15">
        <v>26295</v>
      </c>
      <c r="G15" s="35">
        <v>9.1199999999999992</v>
      </c>
      <c r="H15">
        <v>30635</v>
      </c>
      <c r="I15" s="35">
        <v>6.3510173036698996</v>
      </c>
      <c r="J15" t="str" cm="1">
        <f t="array" ref="J15">IFERROR(INDEX('Campaign Data'!$A$2:$A$5,MATCH(1,(A15&gt;='Campaign Data'!$B$2:$B$5)*(A15&lt;='Campaign Data'!$C$2:$C$5),0)),"outside campaign")</f>
        <v>EndOfSeasonSale</v>
      </c>
    </row>
    <row r="16" spans="1:10">
      <c r="A16" s="1">
        <v>45467</v>
      </c>
      <c r="B16" t="s">
        <v>14</v>
      </c>
      <c r="C16">
        <v>1238</v>
      </c>
      <c r="D16">
        <v>403</v>
      </c>
      <c r="E16">
        <f>Engagment_Summary[[#This Row],[New_Followers]]-Engagment_Summary[[#This Row],[Unfollows]]</f>
        <v>835</v>
      </c>
      <c r="F16">
        <v>298421</v>
      </c>
      <c r="G16" s="35">
        <v>3.5</v>
      </c>
      <c r="H16">
        <v>31280</v>
      </c>
      <c r="I16" s="35">
        <v>0.27980604582117208</v>
      </c>
      <c r="J16" t="str" cm="1">
        <f t="array" ref="J16">IFERROR(INDEX('Campaign Data'!$A$2:$A$5,MATCH(1,(A16&gt;='Campaign Data'!$B$2:$B$5)*(A16&lt;='Campaign Data'!$C$2:$C$5),0)),"outside campaign")</f>
        <v>EndOfSeasonSale</v>
      </c>
    </row>
    <row r="17" spans="1:10">
      <c r="A17" s="1">
        <v>45467</v>
      </c>
      <c r="B17" t="s">
        <v>25</v>
      </c>
      <c r="C17">
        <v>308</v>
      </c>
      <c r="D17">
        <v>431</v>
      </c>
      <c r="E17">
        <f>Engagment_Summary[[#This Row],[New_Followers]]-Engagment_Summary[[#This Row],[Unfollows]]</f>
        <v>-123</v>
      </c>
      <c r="F17">
        <v>426184</v>
      </c>
      <c r="G17" s="35">
        <v>2.62</v>
      </c>
      <c r="H17">
        <v>1783</v>
      </c>
      <c r="I17" s="35">
        <v>-2.8860773750305036E-2</v>
      </c>
      <c r="J17" t="str" cm="1">
        <f t="array" ref="J17">IFERROR(INDEX('Campaign Data'!$A$2:$A$5,MATCH(1,(A17&gt;='Campaign Data'!$B$2:$B$5)*(A17&lt;='Campaign Data'!$C$2:$C$5),0)),"outside campaign")</f>
        <v>EndOfSeasonSale</v>
      </c>
    </row>
    <row r="18" spans="1:10">
      <c r="A18" s="1">
        <v>45474</v>
      </c>
      <c r="B18" t="s">
        <v>27</v>
      </c>
      <c r="C18">
        <v>226</v>
      </c>
      <c r="D18">
        <v>445</v>
      </c>
      <c r="E18">
        <f>Engagment_Summary[[#This Row],[New_Followers]]-Engagment_Summary[[#This Row],[Unfollows]]</f>
        <v>-219</v>
      </c>
      <c r="F18">
        <v>419447</v>
      </c>
      <c r="G18" s="35">
        <v>9.36</v>
      </c>
      <c r="H18">
        <v>9566</v>
      </c>
      <c r="I18" s="35">
        <v>-5.2211602419375981E-2</v>
      </c>
      <c r="J18" t="str" cm="1">
        <f t="array" ref="J18">IFERROR(INDEX('Campaign Data'!$A$2:$A$5,MATCH(1,(A18&gt;='Campaign Data'!$B$2:$B$5)*(A18&lt;='Campaign Data'!$C$2:$C$5),0)),"outside campaign")</f>
        <v>EndOfSeasonSale</v>
      </c>
    </row>
    <row r="19" spans="1:10">
      <c r="A19" s="1">
        <v>45474</v>
      </c>
      <c r="B19" t="s">
        <v>34</v>
      </c>
      <c r="C19">
        <v>505</v>
      </c>
      <c r="D19">
        <v>441</v>
      </c>
      <c r="E19">
        <f>Engagment_Summary[[#This Row],[New_Followers]]-Engagment_Summary[[#This Row],[Unfollows]]</f>
        <v>64</v>
      </c>
      <c r="F19">
        <v>220020</v>
      </c>
      <c r="G19" s="35">
        <v>4.4800000000000004</v>
      </c>
      <c r="H19">
        <v>42307</v>
      </c>
      <c r="I19" s="35">
        <v>2.9088264703208796E-2</v>
      </c>
      <c r="J19" t="str" cm="1">
        <f t="array" ref="J19">IFERROR(INDEX('Campaign Data'!$A$2:$A$5,MATCH(1,(A19&gt;='Campaign Data'!$B$2:$B$5)*(A19&lt;='Campaign Data'!$C$2:$C$5),0)),"outside campaign")</f>
        <v>EndOfSeasonSale</v>
      </c>
    </row>
    <row r="20" spans="1:10">
      <c r="A20" s="1">
        <v>45474</v>
      </c>
      <c r="B20" t="s">
        <v>14</v>
      </c>
      <c r="C20">
        <v>1420</v>
      </c>
      <c r="D20">
        <v>63</v>
      </c>
      <c r="E20">
        <f>Engagment_Summary[[#This Row],[New_Followers]]-Engagment_Summary[[#This Row],[Unfollows]]</f>
        <v>1357</v>
      </c>
      <c r="F20">
        <v>315305</v>
      </c>
      <c r="G20" s="35">
        <v>6.19</v>
      </c>
      <c r="H20">
        <v>5914</v>
      </c>
      <c r="I20" s="35">
        <v>0.4303769366169265</v>
      </c>
      <c r="J20" t="str" cm="1">
        <f t="array" ref="J20">IFERROR(INDEX('Campaign Data'!$A$2:$A$5,MATCH(1,(A20&gt;='Campaign Data'!$B$2:$B$5)*(A20&lt;='Campaign Data'!$C$2:$C$5),0)),"outside campaign")</f>
        <v>EndOfSeasonSale</v>
      </c>
    </row>
    <row r="21" spans="1:10">
      <c r="A21" s="1">
        <v>45474</v>
      </c>
      <c r="B21" t="s">
        <v>25</v>
      </c>
      <c r="C21">
        <v>144</v>
      </c>
      <c r="D21">
        <v>53</v>
      </c>
      <c r="E21">
        <f>Engagment_Summary[[#This Row],[New_Followers]]-Engagment_Summary[[#This Row],[Unfollows]]</f>
        <v>91</v>
      </c>
      <c r="F21">
        <v>113678</v>
      </c>
      <c r="G21" s="35">
        <v>8.7200000000000006</v>
      </c>
      <c r="H21">
        <v>30060</v>
      </c>
      <c r="I21" s="35">
        <v>8.0050669434719113E-2</v>
      </c>
      <c r="J21" t="str" cm="1">
        <f t="array" ref="J21">IFERROR(INDEX('Campaign Data'!$A$2:$A$5,MATCH(1,(A21&gt;='Campaign Data'!$B$2:$B$5)*(A21&lt;='Campaign Data'!$C$2:$C$5),0)),"outside campaign")</f>
        <v>EndOfSeasonSale</v>
      </c>
    </row>
    <row r="22" spans="1:10">
      <c r="A22" s="1">
        <v>45481</v>
      </c>
      <c r="B22" t="s">
        <v>27</v>
      </c>
      <c r="C22">
        <v>1757</v>
      </c>
      <c r="D22">
        <v>85</v>
      </c>
      <c r="E22">
        <f>Engagment_Summary[[#This Row],[New_Followers]]-Engagment_Summary[[#This Row],[Unfollows]]</f>
        <v>1672</v>
      </c>
      <c r="F22">
        <v>58223</v>
      </c>
      <c r="G22" s="35">
        <v>8.74</v>
      </c>
      <c r="H22">
        <v>22728</v>
      </c>
      <c r="I22" s="35">
        <v>2.8717173625543171</v>
      </c>
      <c r="J22" t="str" cm="1">
        <f t="array" ref="J22">IFERROR(INDEX('Campaign Data'!$A$2:$A$5,MATCH(1,(A22&gt;='Campaign Data'!$B$2:$B$5)*(A22&lt;='Campaign Data'!$C$2:$C$5),0)),"outside campaign")</f>
        <v>outside campaign</v>
      </c>
    </row>
    <row r="23" spans="1:10">
      <c r="A23" s="1">
        <v>45481</v>
      </c>
      <c r="B23" t="s">
        <v>34</v>
      </c>
      <c r="C23">
        <v>350</v>
      </c>
      <c r="D23">
        <v>41</v>
      </c>
      <c r="E23">
        <f>Engagment_Summary[[#This Row],[New_Followers]]-Engagment_Summary[[#This Row],[Unfollows]]</f>
        <v>309</v>
      </c>
      <c r="F23">
        <v>251694</v>
      </c>
      <c r="G23" s="35">
        <v>1.91</v>
      </c>
      <c r="H23">
        <v>38610</v>
      </c>
      <c r="I23" s="35">
        <v>0.12276812319721568</v>
      </c>
      <c r="J23" t="str" cm="1">
        <f t="array" ref="J23">IFERROR(INDEX('Campaign Data'!$A$2:$A$5,MATCH(1,(A23&gt;='Campaign Data'!$B$2:$B$5)*(A23&lt;='Campaign Data'!$C$2:$C$5),0)),"outside campaign")</f>
        <v>outside campaign</v>
      </c>
    </row>
    <row r="24" spans="1:10">
      <c r="A24" s="1">
        <v>45481</v>
      </c>
      <c r="B24" t="s">
        <v>14</v>
      </c>
      <c r="C24">
        <v>987</v>
      </c>
      <c r="D24">
        <v>440</v>
      </c>
      <c r="E24">
        <f>Engagment_Summary[[#This Row],[New_Followers]]-Engagment_Summary[[#This Row],[Unfollows]]</f>
        <v>547</v>
      </c>
      <c r="F24">
        <v>389810</v>
      </c>
      <c r="G24" s="35">
        <v>4.66</v>
      </c>
      <c r="H24">
        <v>2932</v>
      </c>
      <c r="I24" s="35">
        <v>0.140324773607655</v>
      </c>
      <c r="J24" t="str" cm="1">
        <f t="array" ref="J24">IFERROR(INDEX('Campaign Data'!$A$2:$A$5,MATCH(1,(A24&gt;='Campaign Data'!$B$2:$B$5)*(A24&lt;='Campaign Data'!$C$2:$C$5),0)),"outside campaign")</f>
        <v>outside campaign</v>
      </c>
    </row>
    <row r="25" spans="1:10">
      <c r="A25" s="1">
        <v>45481</v>
      </c>
      <c r="B25" t="s">
        <v>25</v>
      </c>
      <c r="C25">
        <v>883</v>
      </c>
      <c r="D25">
        <v>369</v>
      </c>
      <c r="E25">
        <f>Engagment_Summary[[#This Row],[New_Followers]]-Engagment_Summary[[#This Row],[Unfollows]]</f>
        <v>514</v>
      </c>
      <c r="F25">
        <v>233694</v>
      </c>
      <c r="G25" s="35">
        <v>2.88</v>
      </c>
      <c r="H25">
        <v>15071</v>
      </c>
      <c r="I25" s="35">
        <v>0.21994574101175038</v>
      </c>
      <c r="J25" t="str" cm="1">
        <f t="array" ref="J25">IFERROR(INDEX('Campaign Data'!$A$2:$A$5,MATCH(1,(A25&gt;='Campaign Data'!$B$2:$B$5)*(A25&lt;='Campaign Data'!$C$2:$C$5),0)),"outside campaign")</f>
        <v>outside campaign</v>
      </c>
    </row>
    <row r="26" spans="1:10">
      <c r="A26" s="1">
        <v>45488</v>
      </c>
      <c r="B26" t="s">
        <v>27</v>
      </c>
      <c r="C26">
        <v>1960</v>
      </c>
      <c r="D26">
        <v>115</v>
      </c>
      <c r="E26">
        <f>Engagment_Summary[[#This Row],[New_Followers]]-Engagment_Summary[[#This Row],[Unfollows]]</f>
        <v>1845</v>
      </c>
      <c r="F26">
        <v>154169</v>
      </c>
      <c r="G26" s="35">
        <v>3.74</v>
      </c>
      <c r="H26">
        <v>10740</v>
      </c>
      <c r="I26" s="35">
        <v>1.1967386439556591</v>
      </c>
      <c r="J26" t="str" cm="1">
        <f t="array" ref="J26">IFERROR(INDEX('Campaign Data'!$A$2:$A$5,MATCH(1,(A26&gt;='Campaign Data'!$B$2:$B$5)*(A26&lt;='Campaign Data'!$C$2:$C$5),0)),"outside campaign")</f>
        <v>outside campaign</v>
      </c>
    </row>
    <row r="27" spans="1:10">
      <c r="A27" s="1">
        <v>45488</v>
      </c>
      <c r="B27" t="s">
        <v>34</v>
      </c>
      <c r="C27">
        <v>170</v>
      </c>
      <c r="D27">
        <v>334</v>
      </c>
      <c r="E27">
        <f>Engagment_Summary[[#This Row],[New_Followers]]-Engagment_Summary[[#This Row],[Unfollows]]</f>
        <v>-164</v>
      </c>
      <c r="F27">
        <v>334626</v>
      </c>
      <c r="G27" s="35">
        <v>6.44</v>
      </c>
      <c r="H27">
        <v>43420</v>
      </c>
      <c r="I27" s="35">
        <v>-4.9009939454794309E-2</v>
      </c>
      <c r="J27" t="str" cm="1">
        <f t="array" ref="J27">IFERROR(INDEX('Campaign Data'!$A$2:$A$5,MATCH(1,(A27&gt;='Campaign Data'!$B$2:$B$5)*(A27&lt;='Campaign Data'!$C$2:$C$5),0)),"outside campaign")</f>
        <v>outside campaign</v>
      </c>
    </row>
    <row r="28" spans="1:10">
      <c r="A28" s="1">
        <v>45488</v>
      </c>
      <c r="B28" t="s">
        <v>14</v>
      </c>
      <c r="C28">
        <v>704</v>
      </c>
      <c r="D28">
        <v>275</v>
      </c>
      <c r="E28">
        <f>Engagment_Summary[[#This Row],[New_Followers]]-Engagment_Summary[[#This Row],[Unfollows]]</f>
        <v>429</v>
      </c>
      <c r="F28">
        <v>226002</v>
      </c>
      <c r="G28" s="35">
        <v>8.56</v>
      </c>
      <c r="H28">
        <v>32393</v>
      </c>
      <c r="I28" s="35">
        <v>0.18982132901478749</v>
      </c>
      <c r="J28" t="str" cm="1">
        <f t="array" ref="J28">IFERROR(INDEX('Campaign Data'!$A$2:$A$5,MATCH(1,(A28&gt;='Campaign Data'!$B$2:$B$5)*(A28&lt;='Campaign Data'!$C$2:$C$5),0)),"outside campaign")</f>
        <v>outside campaign</v>
      </c>
    </row>
    <row r="29" spans="1:10">
      <c r="A29" s="1">
        <v>45488</v>
      </c>
      <c r="B29" t="s">
        <v>25</v>
      </c>
      <c r="C29">
        <v>224</v>
      </c>
      <c r="D29">
        <v>64</v>
      </c>
      <c r="E29">
        <f>Engagment_Summary[[#This Row],[New_Followers]]-Engagment_Summary[[#This Row],[Unfollows]]</f>
        <v>160</v>
      </c>
      <c r="F29">
        <v>156683</v>
      </c>
      <c r="G29" s="35">
        <v>4.5599999999999996</v>
      </c>
      <c r="H29">
        <v>28474</v>
      </c>
      <c r="I29" s="35">
        <v>0.10211701333265255</v>
      </c>
      <c r="J29" t="str" cm="1">
        <f t="array" ref="J29">IFERROR(INDEX('Campaign Data'!$A$2:$A$5,MATCH(1,(A29&gt;='Campaign Data'!$B$2:$B$5)*(A29&lt;='Campaign Data'!$C$2:$C$5),0)),"outside campaign")</f>
        <v>outside campaign</v>
      </c>
    </row>
    <row r="30" spans="1:10">
      <c r="A30" s="1">
        <v>45495</v>
      </c>
      <c r="B30" t="s">
        <v>27</v>
      </c>
      <c r="C30">
        <v>508</v>
      </c>
      <c r="D30">
        <v>349</v>
      </c>
      <c r="E30">
        <f>Engagment_Summary[[#This Row],[New_Followers]]-Engagment_Summary[[#This Row],[Unfollows]]</f>
        <v>159</v>
      </c>
      <c r="F30">
        <v>473812</v>
      </c>
      <c r="G30" s="35">
        <v>7.88</v>
      </c>
      <c r="H30">
        <v>17328</v>
      </c>
      <c r="I30" s="35">
        <v>3.3557613568250697E-2</v>
      </c>
      <c r="J30" t="str" cm="1">
        <f t="array" ref="J30">IFERROR(INDEX('Campaign Data'!$A$2:$A$5,MATCH(1,(A30&gt;='Campaign Data'!$B$2:$B$5)*(A30&lt;='Campaign Data'!$C$2:$C$5),0)),"outside campaign")</f>
        <v>outside campaign</v>
      </c>
    </row>
    <row r="31" spans="1:10">
      <c r="A31" s="1">
        <v>45495</v>
      </c>
      <c r="B31" t="s">
        <v>34</v>
      </c>
      <c r="C31">
        <v>1391</v>
      </c>
      <c r="D31">
        <v>430</v>
      </c>
      <c r="E31">
        <f>Engagment_Summary[[#This Row],[New_Followers]]-Engagment_Summary[[#This Row],[Unfollows]]</f>
        <v>961</v>
      </c>
      <c r="F31">
        <v>295032</v>
      </c>
      <c r="G31" s="35">
        <v>7.86</v>
      </c>
      <c r="H31">
        <v>26067</v>
      </c>
      <c r="I31" s="35">
        <v>0.32572737872501967</v>
      </c>
      <c r="J31" t="str" cm="1">
        <f t="array" ref="J31">IFERROR(INDEX('Campaign Data'!$A$2:$A$5,MATCH(1,(A31&gt;='Campaign Data'!$B$2:$B$5)*(A31&lt;='Campaign Data'!$C$2:$C$5),0)),"outside campaign")</f>
        <v>outside campaign</v>
      </c>
    </row>
    <row r="32" spans="1:10">
      <c r="A32" s="1">
        <v>45495</v>
      </c>
      <c r="B32" t="s">
        <v>14</v>
      </c>
      <c r="C32">
        <v>1701</v>
      </c>
      <c r="D32">
        <v>385</v>
      </c>
      <c r="E32">
        <f>Engagment_Summary[[#This Row],[New_Followers]]-Engagment_Summary[[#This Row],[Unfollows]]</f>
        <v>1316</v>
      </c>
      <c r="F32">
        <v>198278</v>
      </c>
      <c r="G32" s="35">
        <v>5.34</v>
      </c>
      <c r="H32">
        <v>32763</v>
      </c>
      <c r="I32" s="35">
        <v>0.66371458255580551</v>
      </c>
      <c r="J32" t="str" cm="1">
        <f t="array" ref="J32">IFERROR(INDEX('Campaign Data'!$A$2:$A$5,MATCH(1,(A32&gt;='Campaign Data'!$B$2:$B$5)*(A32&lt;='Campaign Data'!$C$2:$C$5),0)),"outside campaign")</f>
        <v>outside campaign</v>
      </c>
    </row>
    <row r="33" spans="1:10">
      <c r="A33" s="1">
        <v>45495</v>
      </c>
      <c r="B33" t="s">
        <v>25</v>
      </c>
      <c r="C33">
        <v>804</v>
      </c>
      <c r="D33">
        <v>487</v>
      </c>
      <c r="E33">
        <f>Engagment_Summary[[#This Row],[New_Followers]]-Engagment_Summary[[#This Row],[Unfollows]]</f>
        <v>317</v>
      </c>
      <c r="F33">
        <v>306564</v>
      </c>
      <c r="G33" s="35">
        <v>5.52</v>
      </c>
      <c r="H33">
        <v>26452</v>
      </c>
      <c r="I33" s="35">
        <v>0.10340418313957282</v>
      </c>
      <c r="J33" t="str" cm="1">
        <f t="array" ref="J33">IFERROR(INDEX('Campaign Data'!$A$2:$A$5,MATCH(1,(A33&gt;='Campaign Data'!$B$2:$B$5)*(A33&lt;='Campaign Data'!$C$2:$C$5),0)),"outside campaign")</f>
        <v>outside campaign</v>
      </c>
    </row>
    <row r="34" spans="1:10">
      <c r="A34" s="1">
        <v>45502</v>
      </c>
      <c r="B34" t="s">
        <v>27</v>
      </c>
      <c r="C34">
        <v>653</v>
      </c>
      <c r="D34">
        <v>112</v>
      </c>
      <c r="E34">
        <f>Engagment_Summary[[#This Row],[New_Followers]]-Engagment_Summary[[#This Row],[Unfollows]]</f>
        <v>541</v>
      </c>
      <c r="F34">
        <v>23664</v>
      </c>
      <c r="G34" s="35">
        <v>4.05</v>
      </c>
      <c r="H34">
        <v>15353</v>
      </c>
      <c r="I34" s="35">
        <v>2.2861730899256254</v>
      </c>
      <c r="J34" t="str" cm="1">
        <f t="array" ref="J34">IFERROR(INDEX('Campaign Data'!$A$2:$A$5,MATCH(1,(A34&gt;='Campaign Data'!$B$2:$B$5)*(A34&lt;='Campaign Data'!$C$2:$C$5),0)),"outside campaign")</f>
        <v>outside campaign</v>
      </c>
    </row>
    <row r="35" spans="1:10">
      <c r="A35" s="1">
        <v>45502</v>
      </c>
      <c r="B35" t="s">
        <v>34</v>
      </c>
      <c r="C35">
        <v>160</v>
      </c>
      <c r="D35">
        <v>478</v>
      </c>
      <c r="E35">
        <f>Engagment_Summary[[#This Row],[New_Followers]]-Engagment_Summary[[#This Row],[Unfollows]]</f>
        <v>-318</v>
      </c>
      <c r="F35">
        <v>435034</v>
      </c>
      <c r="G35" s="35">
        <v>7.73</v>
      </c>
      <c r="H35">
        <v>4839</v>
      </c>
      <c r="I35" s="35">
        <v>-7.309773488968678E-2</v>
      </c>
      <c r="J35" t="str" cm="1">
        <f t="array" ref="J35">IFERROR(INDEX('Campaign Data'!$A$2:$A$5,MATCH(1,(A35&gt;='Campaign Data'!$B$2:$B$5)*(A35&lt;='Campaign Data'!$C$2:$C$5),0)),"outside campaign")</f>
        <v>outside campaign</v>
      </c>
    </row>
    <row r="36" spans="1:10">
      <c r="A36" s="1">
        <v>45502</v>
      </c>
      <c r="B36" t="s">
        <v>14</v>
      </c>
      <c r="C36">
        <v>1756</v>
      </c>
      <c r="D36">
        <v>261</v>
      </c>
      <c r="E36">
        <f>Engagment_Summary[[#This Row],[New_Followers]]-Engagment_Summary[[#This Row],[Unfollows]]</f>
        <v>1495</v>
      </c>
      <c r="F36">
        <v>287574</v>
      </c>
      <c r="G36" s="35">
        <v>4.3600000000000003</v>
      </c>
      <c r="H36">
        <v>39272</v>
      </c>
      <c r="I36" s="35">
        <v>0.51986619096302167</v>
      </c>
      <c r="J36" t="str" cm="1">
        <f t="array" ref="J36">IFERROR(INDEX('Campaign Data'!$A$2:$A$5,MATCH(1,(A36&gt;='Campaign Data'!$B$2:$B$5)*(A36&lt;='Campaign Data'!$C$2:$C$5),0)),"outside campaign")</f>
        <v>outside campaign</v>
      </c>
    </row>
    <row r="37" spans="1:10">
      <c r="A37" s="1">
        <v>45502</v>
      </c>
      <c r="B37" t="s">
        <v>25</v>
      </c>
      <c r="C37">
        <v>576</v>
      </c>
      <c r="D37">
        <v>101</v>
      </c>
      <c r="E37">
        <f>Engagment_Summary[[#This Row],[New_Followers]]-Engagment_Summary[[#This Row],[Unfollows]]</f>
        <v>475</v>
      </c>
      <c r="F37">
        <v>62499</v>
      </c>
      <c r="G37" s="35">
        <v>3.48</v>
      </c>
      <c r="H37">
        <v>16804</v>
      </c>
      <c r="I37" s="35">
        <v>0.76001216019456308</v>
      </c>
      <c r="J37" t="str" cm="1">
        <f t="array" ref="J37">IFERROR(INDEX('Campaign Data'!$A$2:$A$5,MATCH(1,(A37&gt;='Campaign Data'!$B$2:$B$5)*(A37&lt;='Campaign Data'!$C$2:$C$5),0)),"outside campaign")</f>
        <v>outside campaign</v>
      </c>
    </row>
    <row r="38" spans="1:10">
      <c r="A38" s="1">
        <v>45509</v>
      </c>
      <c r="B38" t="s">
        <v>27</v>
      </c>
      <c r="C38">
        <v>645</v>
      </c>
      <c r="D38">
        <v>293</v>
      </c>
      <c r="E38">
        <f>Engagment_Summary[[#This Row],[New_Followers]]-Engagment_Summary[[#This Row],[Unfollows]]</f>
        <v>352</v>
      </c>
      <c r="F38">
        <v>437968</v>
      </c>
      <c r="G38" s="35">
        <v>7.83</v>
      </c>
      <c r="H38">
        <v>49303</v>
      </c>
      <c r="I38" s="35">
        <v>8.0371168669857163E-2</v>
      </c>
      <c r="J38" t="str" cm="1">
        <f t="array" ref="J38">IFERROR(INDEX('Campaign Data'!$A$2:$A$5,MATCH(1,(A38&gt;='Campaign Data'!$B$2:$B$5)*(A38&lt;='Campaign Data'!$C$2:$C$5),0)),"outside campaign")</f>
        <v>FashionUpgrade</v>
      </c>
    </row>
    <row r="39" spans="1:10">
      <c r="A39" s="1">
        <v>45509</v>
      </c>
      <c r="B39" t="s">
        <v>34</v>
      </c>
      <c r="C39">
        <v>214</v>
      </c>
      <c r="D39">
        <v>411</v>
      </c>
      <c r="E39">
        <f>Engagment_Summary[[#This Row],[New_Followers]]-Engagment_Summary[[#This Row],[Unfollows]]</f>
        <v>-197</v>
      </c>
      <c r="F39">
        <v>125034</v>
      </c>
      <c r="G39" s="35">
        <v>6.11</v>
      </c>
      <c r="H39">
        <v>26455</v>
      </c>
      <c r="I39" s="35">
        <v>-0.15755714445670779</v>
      </c>
      <c r="J39" t="str" cm="1">
        <f t="array" ref="J39">IFERROR(INDEX('Campaign Data'!$A$2:$A$5,MATCH(1,(A39&gt;='Campaign Data'!$B$2:$B$5)*(A39&lt;='Campaign Data'!$C$2:$C$5),0)),"outside campaign")</f>
        <v>FashionUpgrade</v>
      </c>
    </row>
    <row r="40" spans="1:10">
      <c r="A40" s="1">
        <v>45509</v>
      </c>
      <c r="B40" t="s">
        <v>14</v>
      </c>
      <c r="C40">
        <v>826</v>
      </c>
      <c r="D40">
        <v>498</v>
      </c>
      <c r="E40">
        <f>Engagment_Summary[[#This Row],[New_Followers]]-Engagment_Summary[[#This Row],[Unfollows]]</f>
        <v>328</v>
      </c>
      <c r="F40">
        <v>449994</v>
      </c>
      <c r="G40" s="35">
        <v>9.43</v>
      </c>
      <c r="H40">
        <v>12384</v>
      </c>
      <c r="I40" s="35">
        <v>7.2889860753698937E-2</v>
      </c>
      <c r="J40" t="str" cm="1">
        <f t="array" ref="J40">IFERROR(INDEX('Campaign Data'!$A$2:$A$5,MATCH(1,(A40&gt;='Campaign Data'!$B$2:$B$5)*(A40&lt;='Campaign Data'!$C$2:$C$5),0)),"outside campaign")</f>
        <v>FashionUpgrade</v>
      </c>
    </row>
    <row r="41" spans="1:10">
      <c r="A41" s="1">
        <v>45509</v>
      </c>
      <c r="B41" t="s">
        <v>25</v>
      </c>
      <c r="C41">
        <v>460</v>
      </c>
      <c r="D41">
        <v>141</v>
      </c>
      <c r="E41">
        <f>Engagment_Summary[[#This Row],[New_Followers]]-Engagment_Summary[[#This Row],[Unfollows]]</f>
        <v>319</v>
      </c>
      <c r="F41">
        <v>320650</v>
      </c>
      <c r="G41" s="35">
        <v>4.04</v>
      </c>
      <c r="H41">
        <v>49372</v>
      </c>
      <c r="I41" s="35">
        <v>9.9485420240137221E-2</v>
      </c>
      <c r="J41" t="str" cm="1">
        <f t="array" ref="J41">IFERROR(INDEX('Campaign Data'!$A$2:$A$5,MATCH(1,(A41&gt;='Campaign Data'!$B$2:$B$5)*(A41&lt;='Campaign Data'!$C$2:$C$5),0)),"outside campaign")</f>
        <v>FashionUpgrade</v>
      </c>
    </row>
    <row r="42" spans="1:10">
      <c r="A42" s="1">
        <v>45516</v>
      </c>
      <c r="B42" t="s">
        <v>27</v>
      </c>
      <c r="C42">
        <v>1528</v>
      </c>
      <c r="D42">
        <v>203</v>
      </c>
      <c r="E42">
        <f>Engagment_Summary[[#This Row],[New_Followers]]-Engagment_Summary[[#This Row],[Unfollows]]</f>
        <v>1325</v>
      </c>
      <c r="F42">
        <v>489188</v>
      </c>
      <c r="G42" s="35">
        <v>6.23</v>
      </c>
      <c r="H42">
        <v>47101</v>
      </c>
      <c r="I42" s="35">
        <v>0.27085701202809553</v>
      </c>
      <c r="J42" t="str" cm="1">
        <f t="array" ref="J42">IFERROR(INDEX('Campaign Data'!$A$2:$A$5,MATCH(1,(A42&gt;='Campaign Data'!$B$2:$B$5)*(A42&lt;='Campaign Data'!$C$2:$C$5),0)),"outside campaign")</f>
        <v>FashionUpgrade</v>
      </c>
    </row>
    <row r="43" spans="1:10">
      <c r="A43" s="1">
        <v>45516</v>
      </c>
      <c r="B43" t="s">
        <v>34</v>
      </c>
      <c r="C43">
        <v>1534</v>
      </c>
      <c r="D43">
        <v>200</v>
      </c>
      <c r="E43">
        <f>Engagment_Summary[[#This Row],[New_Followers]]-Engagment_Summary[[#This Row],[Unfollows]]</f>
        <v>1334</v>
      </c>
      <c r="F43">
        <v>307612</v>
      </c>
      <c r="G43" s="35">
        <v>6.01</v>
      </c>
      <c r="H43">
        <v>37903</v>
      </c>
      <c r="I43" s="35">
        <v>0.43366318609156984</v>
      </c>
      <c r="J43" t="str" cm="1">
        <f t="array" ref="J43">IFERROR(INDEX('Campaign Data'!$A$2:$A$5,MATCH(1,(A43&gt;='Campaign Data'!$B$2:$B$5)*(A43&lt;='Campaign Data'!$C$2:$C$5),0)),"outside campaign")</f>
        <v>FashionUpgrade</v>
      </c>
    </row>
    <row r="44" spans="1:10">
      <c r="A44" s="1">
        <v>45516</v>
      </c>
      <c r="B44" t="s">
        <v>14</v>
      </c>
      <c r="C44">
        <v>485</v>
      </c>
      <c r="D44">
        <v>448</v>
      </c>
      <c r="E44">
        <f>Engagment_Summary[[#This Row],[New_Followers]]-Engagment_Summary[[#This Row],[Unfollows]]</f>
        <v>37</v>
      </c>
      <c r="F44">
        <v>434883</v>
      </c>
      <c r="G44" s="35">
        <v>8.5500000000000007</v>
      </c>
      <c r="H44">
        <v>33258</v>
      </c>
      <c r="I44" s="35">
        <v>8.5080354946042956E-3</v>
      </c>
      <c r="J44" t="str" cm="1">
        <f t="array" ref="J44">IFERROR(INDEX('Campaign Data'!$A$2:$A$5,MATCH(1,(A44&gt;='Campaign Data'!$B$2:$B$5)*(A44&lt;='Campaign Data'!$C$2:$C$5),0)),"outside campaign")</f>
        <v>FashionUpgrade</v>
      </c>
    </row>
    <row r="45" spans="1:10">
      <c r="A45" s="1">
        <v>45516</v>
      </c>
      <c r="B45" t="s">
        <v>25</v>
      </c>
      <c r="C45">
        <v>1210</v>
      </c>
      <c r="D45">
        <v>178</v>
      </c>
      <c r="E45">
        <f>Engagment_Summary[[#This Row],[New_Followers]]-Engagment_Summary[[#This Row],[Unfollows]]</f>
        <v>1032</v>
      </c>
      <c r="F45">
        <v>102042</v>
      </c>
      <c r="G45" s="35">
        <v>5.42</v>
      </c>
      <c r="H45">
        <v>6915</v>
      </c>
      <c r="I45" s="35">
        <v>1.011348268360087</v>
      </c>
      <c r="J45" t="str" cm="1">
        <f t="array" ref="J45">IFERROR(INDEX('Campaign Data'!$A$2:$A$5,MATCH(1,(A45&gt;='Campaign Data'!$B$2:$B$5)*(A45&lt;='Campaign Data'!$C$2:$C$5),0)),"outside campaign")</f>
        <v>FashionUpgrade</v>
      </c>
    </row>
    <row r="46" spans="1:10">
      <c r="A46" s="1">
        <v>45523</v>
      </c>
      <c r="B46" t="s">
        <v>27</v>
      </c>
      <c r="C46">
        <v>215</v>
      </c>
      <c r="D46">
        <v>139</v>
      </c>
      <c r="E46">
        <f>Engagment_Summary[[#This Row],[New_Followers]]-Engagment_Summary[[#This Row],[Unfollows]]</f>
        <v>76</v>
      </c>
      <c r="F46">
        <v>325444</v>
      </c>
      <c r="G46" s="35">
        <v>3.25</v>
      </c>
      <c r="H46">
        <v>35501</v>
      </c>
      <c r="I46" s="35">
        <v>2.335271198731579E-2</v>
      </c>
      <c r="J46" t="str" cm="1">
        <f t="array" ref="J46">IFERROR(INDEX('Campaign Data'!$A$2:$A$5,MATCH(1,(A46&gt;='Campaign Data'!$B$2:$B$5)*(A46&lt;='Campaign Data'!$C$2:$C$5),0)),"outside campaign")</f>
        <v>FashionUpgrade</v>
      </c>
    </row>
    <row r="47" spans="1:10">
      <c r="A47" s="1">
        <v>45523</v>
      </c>
      <c r="B47" t="s">
        <v>34</v>
      </c>
      <c r="C47">
        <v>1078</v>
      </c>
      <c r="D47">
        <v>20</v>
      </c>
      <c r="E47">
        <f>Engagment_Summary[[#This Row],[New_Followers]]-Engagment_Summary[[#This Row],[Unfollows]]</f>
        <v>1058</v>
      </c>
      <c r="F47">
        <v>183924</v>
      </c>
      <c r="G47" s="35">
        <v>8.84</v>
      </c>
      <c r="H47">
        <v>14203</v>
      </c>
      <c r="I47" s="35">
        <v>0.57523759813836151</v>
      </c>
      <c r="J47" t="str" cm="1">
        <f t="array" ref="J47">IFERROR(INDEX('Campaign Data'!$A$2:$A$5,MATCH(1,(A47&gt;='Campaign Data'!$B$2:$B$5)*(A47&lt;='Campaign Data'!$C$2:$C$5),0)),"outside campaign")</f>
        <v>FashionUpgrade</v>
      </c>
    </row>
    <row r="48" spans="1:10">
      <c r="A48" s="1">
        <v>45523</v>
      </c>
      <c r="B48" t="s">
        <v>14</v>
      </c>
      <c r="C48">
        <v>1751</v>
      </c>
      <c r="D48">
        <v>86</v>
      </c>
      <c r="E48">
        <f>Engagment_Summary[[#This Row],[New_Followers]]-Engagment_Summary[[#This Row],[Unfollows]]</f>
        <v>1665</v>
      </c>
      <c r="F48">
        <v>188655</v>
      </c>
      <c r="G48" s="35">
        <v>7.24</v>
      </c>
      <c r="H48">
        <v>22206</v>
      </c>
      <c r="I48" s="35">
        <v>0.88256340939810773</v>
      </c>
      <c r="J48" t="str" cm="1">
        <f t="array" ref="J48">IFERROR(INDEX('Campaign Data'!$A$2:$A$5,MATCH(1,(A48&gt;='Campaign Data'!$B$2:$B$5)*(A48&lt;='Campaign Data'!$C$2:$C$5),0)),"outside campaign")</f>
        <v>FashionUpgrade</v>
      </c>
    </row>
    <row r="49" spans="1:10">
      <c r="A49" s="1">
        <v>45523</v>
      </c>
      <c r="B49" t="s">
        <v>25</v>
      </c>
      <c r="C49">
        <v>221</v>
      </c>
      <c r="D49">
        <v>31</v>
      </c>
      <c r="E49">
        <f>Engagment_Summary[[#This Row],[New_Followers]]-Engagment_Summary[[#This Row],[Unfollows]]</f>
        <v>190</v>
      </c>
      <c r="F49">
        <v>87443</v>
      </c>
      <c r="G49" s="35">
        <v>6.19</v>
      </c>
      <c r="H49">
        <v>10283</v>
      </c>
      <c r="I49" s="35">
        <v>0.21728440241071326</v>
      </c>
      <c r="J49" t="str" cm="1">
        <f t="array" ref="J49">IFERROR(INDEX('Campaign Data'!$A$2:$A$5,MATCH(1,(A49&gt;='Campaign Data'!$B$2:$B$5)*(A49&lt;='Campaign Data'!$C$2:$C$5),0)),"outside campaign")</f>
        <v>FashionUpgrade</v>
      </c>
    </row>
    <row r="50" spans="1:10">
      <c r="A50" s="1">
        <v>45530</v>
      </c>
      <c r="B50" t="s">
        <v>27</v>
      </c>
      <c r="C50">
        <v>1685</v>
      </c>
      <c r="D50">
        <v>76</v>
      </c>
      <c r="E50">
        <f>Engagment_Summary[[#This Row],[New_Followers]]-Engagment_Summary[[#This Row],[Unfollows]]</f>
        <v>1609</v>
      </c>
      <c r="F50">
        <v>453799</v>
      </c>
      <c r="G50" s="35">
        <v>5.71</v>
      </c>
      <c r="H50">
        <v>24913</v>
      </c>
      <c r="I50" s="35">
        <v>0.35456226214689768</v>
      </c>
      <c r="J50" t="str" cm="1">
        <f t="array" ref="J50">IFERROR(INDEX('Campaign Data'!$A$2:$A$5,MATCH(1,(A50&gt;='Campaign Data'!$B$2:$B$5)*(A50&lt;='Campaign Data'!$C$2:$C$5),0)),"outside campaign")</f>
        <v>FashionUpgrade</v>
      </c>
    </row>
    <row r="51" spans="1:10">
      <c r="A51" s="1">
        <v>45530</v>
      </c>
      <c r="B51" t="s">
        <v>34</v>
      </c>
      <c r="C51">
        <v>248</v>
      </c>
      <c r="D51">
        <v>211</v>
      </c>
      <c r="E51">
        <f>Engagment_Summary[[#This Row],[New_Followers]]-Engagment_Summary[[#This Row],[Unfollows]]</f>
        <v>37</v>
      </c>
      <c r="F51">
        <v>379380</v>
      </c>
      <c r="G51" s="35">
        <v>9.0399999999999991</v>
      </c>
      <c r="H51">
        <v>26925</v>
      </c>
      <c r="I51" s="35">
        <v>9.7527544941747053E-3</v>
      </c>
      <c r="J51" t="str" cm="1">
        <f t="array" ref="J51">IFERROR(INDEX('Campaign Data'!$A$2:$A$5,MATCH(1,(A51&gt;='Campaign Data'!$B$2:$B$5)*(A51&lt;='Campaign Data'!$C$2:$C$5),0)),"outside campaign")</f>
        <v>FashionUpgrade</v>
      </c>
    </row>
    <row r="52" spans="1:10">
      <c r="A52" s="1">
        <v>45530</v>
      </c>
      <c r="B52" t="s">
        <v>14</v>
      </c>
      <c r="C52">
        <v>1300</v>
      </c>
      <c r="D52">
        <v>71</v>
      </c>
      <c r="E52">
        <f>Engagment_Summary[[#This Row],[New_Followers]]-Engagment_Summary[[#This Row],[Unfollows]]</f>
        <v>1229</v>
      </c>
      <c r="F52">
        <v>186454</v>
      </c>
      <c r="G52" s="35">
        <v>3.91</v>
      </c>
      <c r="H52">
        <v>9942</v>
      </c>
      <c r="I52" s="35">
        <v>0.65914381026955704</v>
      </c>
      <c r="J52" t="str" cm="1">
        <f t="array" ref="J52">IFERROR(INDEX('Campaign Data'!$A$2:$A$5,MATCH(1,(A52&gt;='Campaign Data'!$B$2:$B$5)*(A52&lt;='Campaign Data'!$C$2:$C$5),0)),"outside campaign")</f>
        <v>FashionUpgrade</v>
      </c>
    </row>
    <row r="53" spans="1:10">
      <c r="A53" s="1">
        <v>45530</v>
      </c>
      <c r="B53" t="s">
        <v>25</v>
      </c>
      <c r="C53">
        <v>422</v>
      </c>
      <c r="D53">
        <v>394</v>
      </c>
      <c r="E53">
        <f>Engagment_Summary[[#This Row],[New_Followers]]-Engagment_Summary[[#This Row],[Unfollows]]</f>
        <v>28</v>
      </c>
      <c r="F53">
        <v>239044</v>
      </c>
      <c r="G53" s="35">
        <v>7.83</v>
      </c>
      <c r="H53">
        <v>32929</v>
      </c>
      <c r="I53" s="35">
        <v>1.1713324743561855E-2</v>
      </c>
      <c r="J53" t="str" cm="1">
        <f t="array" ref="J53">IFERROR(INDEX('Campaign Data'!$A$2:$A$5,MATCH(1,(A53&gt;='Campaign Data'!$B$2:$B$5)*(A53&lt;='Campaign Data'!$C$2:$C$5),0)),"outside campaign")</f>
        <v>FashionUpgrade</v>
      </c>
    </row>
    <row r="54" spans="1:10">
      <c r="A54" s="1">
        <v>45537</v>
      </c>
      <c r="B54" t="s">
        <v>27</v>
      </c>
      <c r="C54">
        <v>1429</v>
      </c>
      <c r="D54">
        <v>182</v>
      </c>
      <c r="E54">
        <f>Engagment_Summary[[#This Row],[New_Followers]]-Engagment_Summary[[#This Row],[Unfollows]]</f>
        <v>1247</v>
      </c>
      <c r="F54">
        <v>101332</v>
      </c>
      <c r="G54" s="35">
        <v>7.16</v>
      </c>
      <c r="H54">
        <v>37829</v>
      </c>
      <c r="I54" s="35">
        <v>1.2306082974775983</v>
      </c>
      <c r="J54" t="str" cm="1">
        <f t="array" ref="J54">IFERROR(INDEX('Campaign Data'!$A$2:$A$5,MATCH(1,(A54&gt;='Campaign Data'!$B$2:$B$5)*(A54&lt;='Campaign Data'!$C$2:$C$5),0)),"outside campaign")</f>
        <v>outside campaign</v>
      </c>
    </row>
    <row r="55" spans="1:10">
      <c r="A55" s="1">
        <v>45537</v>
      </c>
      <c r="B55" t="s">
        <v>34</v>
      </c>
      <c r="C55">
        <v>1520</v>
      </c>
      <c r="D55">
        <v>475</v>
      </c>
      <c r="E55">
        <f>Engagment_Summary[[#This Row],[New_Followers]]-Engagment_Summary[[#This Row],[Unfollows]]</f>
        <v>1045</v>
      </c>
      <c r="F55">
        <v>496982</v>
      </c>
      <c r="G55" s="35">
        <v>6.41</v>
      </c>
      <c r="H55">
        <v>24384</v>
      </c>
      <c r="I55" s="35">
        <v>0.21026918479944948</v>
      </c>
      <c r="J55" t="str" cm="1">
        <f t="array" ref="J55">IFERROR(INDEX('Campaign Data'!$A$2:$A$5,MATCH(1,(A55&gt;='Campaign Data'!$B$2:$B$5)*(A55&lt;='Campaign Data'!$C$2:$C$5),0)),"outside campaign")</f>
        <v>outside campaign</v>
      </c>
    </row>
    <row r="56" spans="1:10">
      <c r="A56" s="1">
        <v>45537</v>
      </c>
      <c r="B56" t="s">
        <v>14</v>
      </c>
      <c r="C56">
        <v>557</v>
      </c>
      <c r="D56">
        <v>360</v>
      </c>
      <c r="E56">
        <f>Engagment_Summary[[#This Row],[New_Followers]]-Engagment_Summary[[#This Row],[Unfollows]]</f>
        <v>197</v>
      </c>
      <c r="F56">
        <v>318779</v>
      </c>
      <c r="G56" s="35">
        <v>8.02</v>
      </c>
      <c r="H56">
        <v>25797</v>
      </c>
      <c r="I56" s="35">
        <v>6.1798299135137513E-2</v>
      </c>
      <c r="J56" t="str" cm="1">
        <f t="array" ref="J56">IFERROR(INDEX('Campaign Data'!$A$2:$A$5,MATCH(1,(A56&gt;='Campaign Data'!$B$2:$B$5)*(A56&lt;='Campaign Data'!$C$2:$C$5),0)),"outside campaign")</f>
        <v>outside campaign</v>
      </c>
    </row>
    <row r="57" spans="1:10">
      <c r="A57" s="1">
        <v>45537</v>
      </c>
      <c r="B57" t="s">
        <v>25</v>
      </c>
      <c r="C57">
        <v>728</v>
      </c>
      <c r="D57">
        <v>395</v>
      </c>
      <c r="E57">
        <f>Engagment_Summary[[#This Row],[New_Followers]]-Engagment_Summary[[#This Row],[Unfollows]]</f>
        <v>333</v>
      </c>
      <c r="F57">
        <v>370971</v>
      </c>
      <c r="G57" s="35">
        <v>3.86</v>
      </c>
      <c r="H57">
        <v>12646</v>
      </c>
      <c r="I57" s="35">
        <v>8.9764429025449427E-2</v>
      </c>
      <c r="J57" t="str" cm="1">
        <f t="array" ref="J57">IFERROR(INDEX('Campaign Data'!$A$2:$A$5,MATCH(1,(A57&gt;='Campaign Data'!$B$2:$B$5)*(A57&lt;='Campaign Data'!$C$2:$C$5),0)),"outside campaign")</f>
        <v>outside campaign</v>
      </c>
    </row>
    <row r="58" spans="1:10">
      <c r="A58" s="1">
        <v>45544</v>
      </c>
      <c r="B58" t="s">
        <v>27</v>
      </c>
      <c r="C58">
        <v>1592</v>
      </c>
      <c r="D58">
        <v>20</v>
      </c>
      <c r="E58">
        <f>Engagment_Summary[[#This Row],[New_Followers]]-Engagment_Summary[[#This Row],[Unfollows]]</f>
        <v>1572</v>
      </c>
      <c r="F58">
        <v>378054</v>
      </c>
      <c r="G58" s="35">
        <v>9.09</v>
      </c>
      <c r="H58">
        <v>26663</v>
      </c>
      <c r="I58" s="35">
        <v>0.41581361392816901</v>
      </c>
      <c r="J58" t="str" cm="1">
        <f t="array" ref="J58">IFERROR(INDEX('Campaign Data'!$A$2:$A$5,MATCH(1,(A58&gt;='Campaign Data'!$B$2:$B$5)*(A58&lt;='Campaign Data'!$C$2:$C$5),0)),"outside campaign")</f>
        <v>outside campaign</v>
      </c>
    </row>
    <row r="59" spans="1:10">
      <c r="A59" s="1">
        <v>45544</v>
      </c>
      <c r="B59" t="s">
        <v>34</v>
      </c>
      <c r="C59">
        <v>1842</v>
      </c>
      <c r="D59">
        <v>414</v>
      </c>
      <c r="E59">
        <f>Engagment_Summary[[#This Row],[New_Followers]]-Engagment_Summary[[#This Row],[Unfollows]]</f>
        <v>1428</v>
      </c>
      <c r="F59">
        <v>307524</v>
      </c>
      <c r="G59" s="35">
        <v>1.76</v>
      </c>
      <c r="H59">
        <v>40478</v>
      </c>
      <c r="I59" s="35">
        <v>0.46435400163889645</v>
      </c>
      <c r="J59" t="str" cm="1">
        <f t="array" ref="J59">IFERROR(INDEX('Campaign Data'!$A$2:$A$5,MATCH(1,(A59&gt;='Campaign Data'!$B$2:$B$5)*(A59&lt;='Campaign Data'!$C$2:$C$5),0)),"outside campaign")</f>
        <v>outside campaign</v>
      </c>
    </row>
    <row r="60" spans="1:10">
      <c r="A60" s="1">
        <v>45544</v>
      </c>
      <c r="B60" t="s">
        <v>14</v>
      </c>
      <c r="C60">
        <v>751</v>
      </c>
      <c r="D60">
        <v>491</v>
      </c>
      <c r="E60">
        <f>Engagment_Summary[[#This Row],[New_Followers]]-Engagment_Summary[[#This Row],[Unfollows]]</f>
        <v>260</v>
      </c>
      <c r="F60">
        <v>434047</v>
      </c>
      <c r="G60" s="35">
        <v>9.24</v>
      </c>
      <c r="H60">
        <v>15476</v>
      </c>
      <c r="I60" s="35">
        <v>5.990134708914012E-2</v>
      </c>
      <c r="J60" t="str" cm="1">
        <f t="array" ref="J60">IFERROR(INDEX('Campaign Data'!$A$2:$A$5,MATCH(1,(A60&gt;='Campaign Data'!$B$2:$B$5)*(A60&lt;='Campaign Data'!$C$2:$C$5),0)),"outside campaign")</f>
        <v>outside campaign</v>
      </c>
    </row>
    <row r="61" spans="1:10">
      <c r="A61" s="1">
        <v>45544</v>
      </c>
      <c r="B61" t="s">
        <v>25</v>
      </c>
      <c r="C61">
        <v>1409</v>
      </c>
      <c r="D61">
        <v>309</v>
      </c>
      <c r="E61">
        <f>Engagment_Summary[[#This Row],[New_Followers]]-Engagment_Summary[[#This Row],[Unfollows]]</f>
        <v>1100</v>
      </c>
      <c r="F61">
        <v>64583</v>
      </c>
      <c r="G61" s="35">
        <v>8.99</v>
      </c>
      <c r="H61">
        <v>10217</v>
      </c>
      <c r="I61" s="35">
        <v>1.703234597339857</v>
      </c>
      <c r="J61" t="str" cm="1">
        <f t="array" ref="J61">IFERROR(INDEX('Campaign Data'!$A$2:$A$5,MATCH(1,(A61&gt;='Campaign Data'!$B$2:$B$5)*(A61&lt;='Campaign Data'!$C$2:$C$5),0)),"outside campaign")</f>
        <v>outside campaign</v>
      </c>
    </row>
    <row r="62" spans="1:10">
      <c r="A62" s="1">
        <v>45551</v>
      </c>
      <c r="B62" t="s">
        <v>27</v>
      </c>
      <c r="C62">
        <v>778</v>
      </c>
      <c r="D62">
        <v>401</v>
      </c>
      <c r="E62">
        <f>Engagment_Summary[[#This Row],[New_Followers]]-Engagment_Summary[[#This Row],[Unfollows]]</f>
        <v>377</v>
      </c>
      <c r="F62">
        <v>50793</v>
      </c>
      <c r="G62" s="35">
        <v>3.4</v>
      </c>
      <c r="H62">
        <v>21939</v>
      </c>
      <c r="I62" s="35">
        <v>0.74222825979957874</v>
      </c>
      <c r="J62" t="str" cm="1">
        <f t="array" ref="J62">IFERROR(INDEX('Campaign Data'!$A$2:$A$5,MATCH(1,(A62&gt;='Campaign Data'!$B$2:$B$5)*(A62&lt;='Campaign Data'!$C$2:$C$5),0)),"outside campaign")</f>
        <v>outside campaign</v>
      </c>
    </row>
    <row r="63" spans="1:10">
      <c r="A63" s="1">
        <v>45551</v>
      </c>
      <c r="B63" t="s">
        <v>34</v>
      </c>
      <c r="C63">
        <v>443</v>
      </c>
      <c r="D63">
        <v>345</v>
      </c>
      <c r="E63">
        <f>Engagment_Summary[[#This Row],[New_Followers]]-Engagment_Summary[[#This Row],[Unfollows]]</f>
        <v>98</v>
      </c>
      <c r="F63">
        <v>474162</v>
      </c>
      <c r="G63" s="35">
        <v>9.1999999999999993</v>
      </c>
      <c r="H63">
        <v>47462</v>
      </c>
      <c r="I63" s="35">
        <v>2.0668041724136478E-2</v>
      </c>
      <c r="J63" t="str" cm="1">
        <f t="array" ref="J63">IFERROR(INDEX('Campaign Data'!$A$2:$A$5,MATCH(1,(A63&gt;='Campaign Data'!$B$2:$B$5)*(A63&lt;='Campaign Data'!$C$2:$C$5),0)),"outside campaign")</f>
        <v>outside campaign</v>
      </c>
    </row>
    <row r="64" spans="1:10">
      <c r="A64" s="1">
        <v>45551</v>
      </c>
      <c r="B64" t="s">
        <v>14</v>
      </c>
      <c r="C64">
        <v>1472</v>
      </c>
      <c r="D64">
        <v>347</v>
      </c>
      <c r="E64">
        <f>Engagment_Summary[[#This Row],[New_Followers]]-Engagment_Summary[[#This Row],[Unfollows]]</f>
        <v>1125</v>
      </c>
      <c r="F64">
        <v>392355</v>
      </c>
      <c r="G64" s="35">
        <v>8.59</v>
      </c>
      <c r="H64">
        <v>30270</v>
      </c>
      <c r="I64" s="35">
        <v>0.2867301296020186</v>
      </c>
      <c r="J64" t="str" cm="1">
        <f t="array" ref="J64">IFERROR(INDEX('Campaign Data'!$A$2:$A$5,MATCH(1,(A64&gt;='Campaign Data'!$B$2:$B$5)*(A64&lt;='Campaign Data'!$C$2:$C$5),0)),"outside campaign")</f>
        <v>outside campaign</v>
      </c>
    </row>
    <row r="65" spans="1:10">
      <c r="A65" s="1">
        <v>45551</v>
      </c>
      <c r="B65" t="s">
        <v>25</v>
      </c>
      <c r="C65">
        <v>123</v>
      </c>
      <c r="D65">
        <v>155</v>
      </c>
      <c r="E65">
        <f>Engagment_Summary[[#This Row],[New_Followers]]-Engagment_Summary[[#This Row],[Unfollows]]</f>
        <v>-32</v>
      </c>
      <c r="F65">
        <v>119934</v>
      </c>
      <c r="G65" s="35">
        <v>3.5</v>
      </c>
      <c r="H65">
        <v>5442</v>
      </c>
      <c r="I65" s="35">
        <v>-2.6681341404439108E-2</v>
      </c>
      <c r="J65" t="str" cm="1">
        <f t="array" ref="J65">IFERROR(INDEX('Campaign Data'!$A$2:$A$5,MATCH(1,(A65&gt;='Campaign Data'!$B$2:$B$5)*(A65&lt;='Campaign Data'!$C$2:$C$5),0)),"outside campaign")</f>
        <v>outside campaign</v>
      </c>
    </row>
    <row r="66" spans="1:10">
      <c r="A66" s="1">
        <v>45558</v>
      </c>
      <c r="B66" t="s">
        <v>27</v>
      </c>
      <c r="C66">
        <v>817</v>
      </c>
      <c r="D66">
        <v>151</v>
      </c>
      <c r="E66">
        <f>Engagment_Summary[[#This Row],[New_Followers]]-Engagment_Summary[[#This Row],[Unfollows]]</f>
        <v>666</v>
      </c>
      <c r="F66">
        <v>422625</v>
      </c>
      <c r="G66" s="35">
        <v>2.36</v>
      </c>
      <c r="H66">
        <v>1083</v>
      </c>
      <c r="I66" s="35">
        <v>0.15758651286601597</v>
      </c>
      <c r="J66" t="str" cm="1">
        <f t="array" ref="J66">IFERROR(INDEX('Campaign Data'!$A$2:$A$5,MATCH(1,(A66&gt;='Campaign Data'!$B$2:$B$5)*(A66&lt;='Campaign Data'!$C$2:$C$5),0)),"outside campaign")</f>
        <v>outside campaign</v>
      </c>
    </row>
    <row r="67" spans="1:10">
      <c r="A67" s="1">
        <v>45558</v>
      </c>
      <c r="B67" t="s">
        <v>34</v>
      </c>
      <c r="C67">
        <v>198</v>
      </c>
      <c r="D67">
        <v>217</v>
      </c>
      <c r="E67">
        <f>Engagment_Summary[[#This Row],[New_Followers]]-Engagment_Summary[[#This Row],[Unfollows]]</f>
        <v>-19</v>
      </c>
      <c r="F67">
        <v>239753</v>
      </c>
      <c r="G67" s="35">
        <v>7.36</v>
      </c>
      <c r="H67">
        <v>11901</v>
      </c>
      <c r="I67" s="35">
        <v>-7.924822629956663E-3</v>
      </c>
      <c r="J67" t="str" cm="1">
        <f t="array" ref="J67">IFERROR(INDEX('Campaign Data'!$A$2:$A$5,MATCH(1,(A67&gt;='Campaign Data'!$B$2:$B$5)*(A67&lt;='Campaign Data'!$C$2:$C$5),0)),"outside campaign")</f>
        <v>outside campaign</v>
      </c>
    </row>
    <row r="68" spans="1:10">
      <c r="A68" s="1">
        <v>45558</v>
      </c>
      <c r="B68" t="s">
        <v>14</v>
      </c>
      <c r="C68">
        <v>1911</v>
      </c>
      <c r="D68">
        <v>231</v>
      </c>
      <c r="E68">
        <f>Engagment_Summary[[#This Row],[New_Followers]]-Engagment_Summary[[#This Row],[Unfollows]]</f>
        <v>1680</v>
      </c>
      <c r="F68">
        <v>268516</v>
      </c>
      <c r="G68" s="35">
        <v>8.5500000000000007</v>
      </c>
      <c r="H68">
        <v>24018</v>
      </c>
      <c r="I68" s="35">
        <v>0.62566104068286432</v>
      </c>
      <c r="J68" t="str" cm="1">
        <f t="array" ref="J68">IFERROR(INDEX('Campaign Data'!$A$2:$A$5,MATCH(1,(A68&gt;='Campaign Data'!$B$2:$B$5)*(A68&lt;='Campaign Data'!$C$2:$C$5),0)),"outside campaign")</f>
        <v>outside campaign</v>
      </c>
    </row>
    <row r="69" spans="1:10">
      <c r="A69" s="1">
        <v>45558</v>
      </c>
      <c r="B69" t="s">
        <v>25</v>
      </c>
      <c r="C69">
        <v>1218</v>
      </c>
      <c r="D69">
        <v>212</v>
      </c>
      <c r="E69">
        <f>Engagment_Summary[[#This Row],[New_Followers]]-Engagment_Summary[[#This Row],[Unfollows]]</f>
        <v>1006</v>
      </c>
      <c r="F69">
        <v>63177</v>
      </c>
      <c r="G69" s="35">
        <v>8.1300000000000008</v>
      </c>
      <c r="H69">
        <v>38883</v>
      </c>
      <c r="I69" s="35">
        <v>1.592351646960128</v>
      </c>
      <c r="J69" t="str" cm="1">
        <f t="array" ref="J69">IFERROR(INDEX('Campaign Data'!$A$2:$A$5,MATCH(1,(A69&gt;='Campaign Data'!$B$2:$B$5)*(A69&lt;='Campaign Data'!$C$2:$C$5),0)),"outside campaign")</f>
        <v>outside campaign</v>
      </c>
    </row>
    <row r="70" spans="1:10">
      <c r="A70" s="1">
        <v>45565</v>
      </c>
      <c r="B70" t="s">
        <v>27</v>
      </c>
      <c r="C70">
        <v>1433</v>
      </c>
      <c r="D70">
        <v>408</v>
      </c>
      <c r="E70">
        <f>Engagment_Summary[[#This Row],[New_Followers]]-Engagment_Summary[[#This Row],[Unfollows]]</f>
        <v>1025</v>
      </c>
      <c r="F70">
        <v>370269</v>
      </c>
      <c r="G70" s="35">
        <v>3.3</v>
      </c>
      <c r="H70">
        <v>30575</v>
      </c>
      <c r="I70" s="35">
        <v>0.27682576721248608</v>
      </c>
      <c r="J70" t="str" cm="1">
        <f t="array" ref="J70">IFERROR(INDEX('Campaign Data'!$A$2:$A$5,MATCH(1,(A70&gt;='Campaign Data'!$B$2:$B$5)*(A70&lt;='Campaign Data'!$C$2:$C$5),0)),"outside campaign")</f>
        <v>outside campaign</v>
      </c>
    </row>
    <row r="71" spans="1:10">
      <c r="A71" s="1">
        <v>45565</v>
      </c>
      <c r="B71" t="s">
        <v>34</v>
      </c>
      <c r="C71">
        <v>250</v>
      </c>
      <c r="D71">
        <v>429</v>
      </c>
      <c r="E71">
        <f>Engagment_Summary[[#This Row],[New_Followers]]-Engagment_Summary[[#This Row],[Unfollows]]</f>
        <v>-179</v>
      </c>
      <c r="F71">
        <v>453423</v>
      </c>
      <c r="G71" s="35">
        <v>1.77</v>
      </c>
      <c r="H71">
        <v>2315</v>
      </c>
      <c r="I71" s="35">
        <v>-3.9477485703195474E-2</v>
      </c>
      <c r="J71" t="str" cm="1">
        <f t="array" ref="J71">IFERROR(INDEX('Campaign Data'!$A$2:$A$5,MATCH(1,(A71&gt;='Campaign Data'!$B$2:$B$5)*(A71&lt;='Campaign Data'!$C$2:$C$5),0)),"outside campaign")</f>
        <v>outside campaign</v>
      </c>
    </row>
    <row r="72" spans="1:10">
      <c r="A72" s="1">
        <v>45565</v>
      </c>
      <c r="B72" t="s">
        <v>14</v>
      </c>
      <c r="C72">
        <v>752</v>
      </c>
      <c r="D72">
        <v>153</v>
      </c>
      <c r="E72">
        <f>Engagment_Summary[[#This Row],[New_Followers]]-Engagment_Summary[[#This Row],[Unfollows]]</f>
        <v>599</v>
      </c>
      <c r="F72">
        <v>64906</v>
      </c>
      <c r="G72" s="35">
        <v>2.09</v>
      </c>
      <c r="H72">
        <v>12148</v>
      </c>
      <c r="I72" s="35">
        <v>0.92287307798970819</v>
      </c>
      <c r="J72" t="str" cm="1">
        <f t="array" ref="J72">IFERROR(INDEX('Campaign Data'!$A$2:$A$5,MATCH(1,(A72&gt;='Campaign Data'!$B$2:$B$5)*(A72&lt;='Campaign Data'!$C$2:$C$5),0)),"outside campaign")</f>
        <v>outside campaign</v>
      </c>
    </row>
    <row r="73" spans="1:10">
      <c r="A73" s="1">
        <v>45565</v>
      </c>
      <c r="B73" t="s">
        <v>25</v>
      </c>
      <c r="C73">
        <v>1918</v>
      </c>
      <c r="D73">
        <v>212</v>
      </c>
      <c r="E73">
        <f>Engagment_Summary[[#This Row],[New_Followers]]-Engagment_Summary[[#This Row],[Unfollows]]</f>
        <v>1706</v>
      </c>
      <c r="F73">
        <v>94360</v>
      </c>
      <c r="G73" s="35">
        <v>7.36</v>
      </c>
      <c r="H73">
        <v>36851</v>
      </c>
      <c r="I73" s="35">
        <v>1.8079694785926241</v>
      </c>
      <c r="J73" t="str" cm="1">
        <f t="array" ref="J73">IFERROR(INDEX('Campaign Data'!$A$2:$A$5,MATCH(1,(A73&gt;='Campaign Data'!$B$2:$B$5)*(A73&lt;='Campaign Data'!$C$2:$C$5),0)),"outside campaign")</f>
        <v>outside campaign</v>
      </c>
    </row>
    <row r="74" spans="1:10">
      <c r="A74" s="1">
        <v>45572</v>
      </c>
      <c r="B74" t="s">
        <v>27</v>
      </c>
      <c r="C74">
        <v>1939</v>
      </c>
      <c r="D74">
        <v>67</v>
      </c>
      <c r="E74">
        <f>Engagment_Summary[[#This Row],[New_Followers]]-Engagment_Summary[[#This Row],[Unfollows]]</f>
        <v>1872</v>
      </c>
      <c r="F74">
        <v>187183</v>
      </c>
      <c r="G74" s="35">
        <v>6.25</v>
      </c>
      <c r="H74">
        <v>41215</v>
      </c>
      <c r="I74" s="35">
        <v>1.000090820213374</v>
      </c>
      <c r="J74" t="str" cm="1">
        <f t="array" ref="J74">IFERROR(INDEX('Campaign Data'!$A$2:$A$5,MATCH(1,(A74&gt;='Campaign Data'!$B$2:$B$5)*(A74&lt;='Campaign Data'!$C$2:$C$5),0)),"outside campaign")</f>
        <v>MyntraFestiveEdit</v>
      </c>
    </row>
    <row r="75" spans="1:10">
      <c r="A75" s="1">
        <v>45572</v>
      </c>
      <c r="B75" t="s">
        <v>34</v>
      </c>
      <c r="C75">
        <v>1929</v>
      </c>
      <c r="D75">
        <v>267</v>
      </c>
      <c r="E75">
        <f>Engagment_Summary[[#This Row],[New_Followers]]-Engagment_Summary[[#This Row],[Unfollows]]</f>
        <v>1662</v>
      </c>
      <c r="F75">
        <v>379363</v>
      </c>
      <c r="G75" s="35">
        <v>1.75</v>
      </c>
      <c r="H75">
        <v>43836</v>
      </c>
      <c r="I75" s="35">
        <v>0.43810281972675247</v>
      </c>
      <c r="J75" t="str" cm="1">
        <f t="array" ref="J75">IFERROR(INDEX('Campaign Data'!$A$2:$A$5,MATCH(1,(A75&gt;='Campaign Data'!$B$2:$B$5)*(A75&lt;='Campaign Data'!$C$2:$C$5),0)),"outside campaign")</f>
        <v>MyntraFestiveEdit</v>
      </c>
    </row>
    <row r="76" spans="1:10">
      <c r="A76" s="1">
        <v>45572</v>
      </c>
      <c r="B76" t="s">
        <v>14</v>
      </c>
      <c r="C76">
        <v>437</v>
      </c>
      <c r="D76">
        <v>330</v>
      </c>
      <c r="E76">
        <f>Engagment_Summary[[#This Row],[New_Followers]]-Engagment_Summary[[#This Row],[Unfollows]]</f>
        <v>107</v>
      </c>
      <c r="F76">
        <v>476486</v>
      </c>
      <c r="G76" s="35">
        <v>4.97</v>
      </c>
      <c r="H76">
        <v>4509</v>
      </c>
      <c r="I76" s="35">
        <v>2.2456063766826309E-2</v>
      </c>
      <c r="J76" t="str" cm="1">
        <f t="array" ref="J76">IFERROR(INDEX('Campaign Data'!$A$2:$A$5,MATCH(1,(A76&gt;='Campaign Data'!$B$2:$B$5)*(A76&lt;='Campaign Data'!$C$2:$C$5),0)),"outside campaign")</f>
        <v>MyntraFestiveEdit</v>
      </c>
    </row>
    <row r="77" spans="1:10">
      <c r="A77" s="1">
        <v>45572</v>
      </c>
      <c r="B77" t="s">
        <v>25</v>
      </c>
      <c r="C77">
        <v>307</v>
      </c>
      <c r="D77">
        <v>189</v>
      </c>
      <c r="E77">
        <f>Engagment_Summary[[#This Row],[New_Followers]]-Engagment_Summary[[#This Row],[Unfollows]]</f>
        <v>118</v>
      </c>
      <c r="F77">
        <v>117767</v>
      </c>
      <c r="G77" s="35">
        <v>9.3000000000000007</v>
      </c>
      <c r="H77">
        <v>27822</v>
      </c>
      <c r="I77" s="35">
        <v>0.10019784829366461</v>
      </c>
      <c r="J77" t="str" cm="1">
        <f t="array" ref="J77">IFERROR(INDEX('Campaign Data'!$A$2:$A$5,MATCH(1,(A77&gt;='Campaign Data'!$B$2:$B$5)*(A77&lt;='Campaign Data'!$C$2:$C$5),0)),"outside campaign")</f>
        <v>MyntraFestiveEdit</v>
      </c>
    </row>
    <row r="78" spans="1:10">
      <c r="A78" s="1">
        <v>45579</v>
      </c>
      <c r="B78" t="s">
        <v>27</v>
      </c>
      <c r="C78">
        <v>1527</v>
      </c>
      <c r="D78">
        <v>303</v>
      </c>
      <c r="E78">
        <f>Engagment_Summary[[#This Row],[New_Followers]]-Engagment_Summary[[#This Row],[Unfollows]]</f>
        <v>1224</v>
      </c>
      <c r="F78">
        <v>388555</v>
      </c>
      <c r="G78" s="35">
        <v>8.9</v>
      </c>
      <c r="H78">
        <v>36397</v>
      </c>
      <c r="I78" s="35">
        <v>0.31501331857780751</v>
      </c>
      <c r="J78" t="str" cm="1">
        <f t="array" ref="J78">IFERROR(INDEX('Campaign Data'!$A$2:$A$5,MATCH(1,(A78&gt;='Campaign Data'!$B$2:$B$5)*(A78&lt;='Campaign Data'!$C$2:$C$5),0)),"outside campaign")</f>
        <v>MyntraFestiveEdit</v>
      </c>
    </row>
    <row r="79" spans="1:10">
      <c r="A79" s="1">
        <v>45579</v>
      </c>
      <c r="B79" t="s">
        <v>34</v>
      </c>
      <c r="C79">
        <v>643</v>
      </c>
      <c r="D79">
        <v>358</v>
      </c>
      <c r="E79">
        <f>Engagment_Summary[[#This Row],[New_Followers]]-Engagment_Summary[[#This Row],[Unfollows]]</f>
        <v>285</v>
      </c>
      <c r="F79">
        <v>157599</v>
      </c>
      <c r="G79" s="35">
        <v>3.88</v>
      </c>
      <c r="H79">
        <v>7285</v>
      </c>
      <c r="I79" s="35">
        <v>0.18083871090552606</v>
      </c>
      <c r="J79" t="str" cm="1">
        <f t="array" ref="J79">IFERROR(INDEX('Campaign Data'!$A$2:$A$5,MATCH(1,(A79&gt;='Campaign Data'!$B$2:$B$5)*(A79&lt;='Campaign Data'!$C$2:$C$5),0)),"outside campaign")</f>
        <v>MyntraFestiveEdit</v>
      </c>
    </row>
    <row r="80" spans="1:10">
      <c r="A80" s="1">
        <v>45579</v>
      </c>
      <c r="B80" t="s">
        <v>14</v>
      </c>
      <c r="C80">
        <v>201</v>
      </c>
      <c r="D80">
        <v>221</v>
      </c>
      <c r="E80">
        <f>Engagment_Summary[[#This Row],[New_Followers]]-Engagment_Summary[[#This Row],[Unfollows]]</f>
        <v>-20</v>
      </c>
      <c r="F80">
        <v>309772</v>
      </c>
      <c r="G80" s="35">
        <v>5.9</v>
      </c>
      <c r="H80">
        <v>33174</v>
      </c>
      <c r="I80" s="35">
        <v>-6.4563614529395824E-3</v>
      </c>
      <c r="J80" t="str" cm="1">
        <f t="array" ref="J80">IFERROR(INDEX('Campaign Data'!$A$2:$A$5,MATCH(1,(A80&gt;='Campaign Data'!$B$2:$B$5)*(A80&lt;='Campaign Data'!$C$2:$C$5),0)),"outside campaign")</f>
        <v>MyntraFestiveEdit</v>
      </c>
    </row>
    <row r="81" spans="1:10">
      <c r="A81" s="1">
        <v>45579</v>
      </c>
      <c r="B81" t="s">
        <v>25</v>
      </c>
      <c r="C81">
        <v>414</v>
      </c>
      <c r="D81">
        <v>47</v>
      </c>
      <c r="E81">
        <f>Engagment_Summary[[#This Row],[New_Followers]]-Engagment_Summary[[#This Row],[Unfollows]]</f>
        <v>367</v>
      </c>
      <c r="F81">
        <v>199178</v>
      </c>
      <c r="G81" s="35">
        <v>1.53</v>
      </c>
      <c r="H81">
        <v>6742</v>
      </c>
      <c r="I81" s="35">
        <v>0.18425729749269498</v>
      </c>
      <c r="J81" t="str" cm="1">
        <f t="array" ref="J81">IFERROR(INDEX('Campaign Data'!$A$2:$A$5,MATCH(1,(A81&gt;='Campaign Data'!$B$2:$B$5)*(A81&lt;='Campaign Data'!$C$2:$C$5),0)),"outside campaign")</f>
        <v>MyntraFestiveEdit</v>
      </c>
    </row>
    <row r="82" spans="1:10">
      <c r="A82" s="1">
        <v>45586</v>
      </c>
      <c r="B82" t="s">
        <v>27</v>
      </c>
      <c r="C82">
        <v>703</v>
      </c>
      <c r="D82">
        <v>441</v>
      </c>
      <c r="E82">
        <f>Engagment_Summary[[#This Row],[New_Followers]]-Engagment_Summary[[#This Row],[Unfollows]]</f>
        <v>262</v>
      </c>
      <c r="F82">
        <v>357089</v>
      </c>
      <c r="G82" s="35">
        <v>6.5</v>
      </c>
      <c r="H82">
        <v>32478</v>
      </c>
      <c r="I82" s="35">
        <v>7.3371064356504964E-2</v>
      </c>
      <c r="J82" t="str" cm="1">
        <f t="array" ref="J82">IFERROR(INDEX('Campaign Data'!$A$2:$A$5,MATCH(1,(A82&gt;='Campaign Data'!$B$2:$B$5)*(A82&lt;='Campaign Data'!$C$2:$C$5),0)),"outside campaign")</f>
        <v>MyntraFestiveEdit</v>
      </c>
    </row>
    <row r="83" spans="1:10">
      <c r="A83" s="1">
        <v>45586</v>
      </c>
      <c r="B83" t="s">
        <v>34</v>
      </c>
      <c r="C83">
        <v>508</v>
      </c>
      <c r="D83">
        <v>69</v>
      </c>
      <c r="E83">
        <f>Engagment_Summary[[#This Row],[New_Followers]]-Engagment_Summary[[#This Row],[Unfollows]]</f>
        <v>439</v>
      </c>
      <c r="F83">
        <v>23492</v>
      </c>
      <c r="G83" s="35">
        <v>3.16</v>
      </c>
      <c r="H83">
        <v>42824</v>
      </c>
      <c r="I83" s="35">
        <v>1.8687212668142346</v>
      </c>
      <c r="J83" t="str" cm="1">
        <f t="array" ref="J83">IFERROR(INDEX('Campaign Data'!$A$2:$A$5,MATCH(1,(A83&gt;='Campaign Data'!$B$2:$B$5)*(A83&lt;='Campaign Data'!$C$2:$C$5),0)),"outside campaign")</f>
        <v>MyntraFestiveEdit</v>
      </c>
    </row>
    <row r="84" spans="1:10">
      <c r="A84" s="1">
        <v>45586</v>
      </c>
      <c r="B84" t="s">
        <v>14</v>
      </c>
      <c r="C84">
        <v>697</v>
      </c>
      <c r="D84">
        <v>61</v>
      </c>
      <c r="E84">
        <f>Engagment_Summary[[#This Row],[New_Followers]]-Engagment_Summary[[#This Row],[Unfollows]]</f>
        <v>636</v>
      </c>
      <c r="F84">
        <v>258287</v>
      </c>
      <c r="G84" s="35">
        <v>8.25</v>
      </c>
      <c r="H84">
        <v>21208</v>
      </c>
      <c r="I84" s="35">
        <v>0.24623771231227276</v>
      </c>
      <c r="J84" t="str" cm="1">
        <f t="array" ref="J84">IFERROR(INDEX('Campaign Data'!$A$2:$A$5,MATCH(1,(A84&gt;='Campaign Data'!$B$2:$B$5)*(A84&lt;='Campaign Data'!$C$2:$C$5),0)),"outside campaign")</f>
        <v>MyntraFestiveEdit</v>
      </c>
    </row>
    <row r="85" spans="1:10">
      <c r="A85" s="1">
        <v>45586</v>
      </c>
      <c r="B85" t="s">
        <v>25</v>
      </c>
      <c r="C85">
        <v>1707</v>
      </c>
      <c r="D85">
        <v>223</v>
      </c>
      <c r="E85">
        <f>Engagment_Summary[[#This Row],[New_Followers]]-Engagment_Summary[[#This Row],[Unfollows]]</f>
        <v>1484</v>
      </c>
      <c r="F85">
        <v>256910</v>
      </c>
      <c r="G85" s="35">
        <v>5.41</v>
      </c>
      <c r="H85">
        <v>44321</v>
      </c>
      <c r="I85" s="35">
        <v>0.57763419096181545</v>
      </c>
      <c r="J85" t="str" cm="1">
        <f t="array" ref="J85">IFERROR(INDEX('Campaign Data'!$A$2:$A$5,MATCH(1,(A85&gt;='Campaign Data'!$B$2:$B$5)*(A85&lt;='Campaign Data'!$C$2:$C$5),0)),"outside campaign")</f>
        <v>MyntraFestiveEdit</v>
      </c>
    </row>
    <row r="86" spans="1:10">
      <c r="A86" s="1">
        <v>45593</v>
      </c>
      <c r="B86" t="s">
        <v>27</v>
      </c>
      <c r="C86">
        <v>642</v>
      </c>
      <c r="D86">
        <v>66</v>
      </c>
      <c r="E86">
        <f>Engagment_Summary[[#This Row],[New_Followers]]-Engagment_Summary[[#This Row],[Unfollows]]</f>
        <v>576</v>
      </c>
      <c r="F86">
        <v>346522</v>
      </c>
      <c r="G86" s="35">
        <v>5.85</v>
      </c>
      <c r="H86">
        <v>13116</v>
      </c>
      <c r="I86" s="35">
        <v>0.166223212379012</v>
      </c>
      <c r="J86" t="str" cm="1">
        <f t="array" ref="J86">IFERROR(INDEX('Campaign Data'!$A$2:$A$5,MATCH(1,(A86&gt;='Campaign Data'!$B$2:$B$5)*(A86&lt;='Campaign Data'!$C$2:$C$5),0)),"outside campaign")</f>
        <v>MyntraFestiveEdit</v>
      </c>
    </row>
    <row r="87" spans="1:10">
      <c r="A87" s="1">
        <v>45593</v>
      </c>
      <c r="B87" t="s">
        <v>34</v>
      </c>
      <c r="C87">
        <v>859</v>
      </c>
      <c r="D87">
        <v>473</v>
      </c>
      <c r="E87">
        <f>Engagment_Summary[[#This Row],[New_Followers]]-Engagment_Summary[[#This Row],[Unfollows]]</f>
        <v>386</v>
      </c>
      <c r="F87">
        <v>209987</v>
      </c>
      <c r="G87" s="35">
        <v>4.46</v>
      </c>
      <c r="H87">
        <v>30214</v>
      </c>
      <c r="I87" s="35">
        <v>0.18382090319876945</v>
      </c>
      <c r="J87" t="str" cm="1">
        <f t="array" ref="J87">IFERROR(INDEX('Campaign Data'!$A$2:$A$5,MATCH(1,(A87&gt;='Campaign Data'!$B$2:$B$5)*(A87&lt;='Campaign Data'!$C$2:$C$5),0)),"outside campaign")</f>
        <v>MyntraFestiveEdit</v>
      </c>
    </row>
    <row r="88" spans="1:10">
      <c r="A88" s="1">
        <v>45593</v>
      </c>
      <c r="B88" t="s">
        <v>14</v>
      </c>
      <c r="C88">
        <v>191</v>
      </c>
      <c r="D88">
        <v>154</v>
      </c>
      <c r="E88">
        <f>Engagment_Summary[[#This Row],[New_Followers]]-Engagment_Summary[[#This Row],[Unfollows]]</f>
        <v>37</v>
      </c>
      <c r="F88">
        <v>240550</v>
      </c>
      <c r="G88" s="35">
        <v>5.22</v>
      </c>
      <c r="H88">
        <v>15827</v>
      </c>
      <c r="I88" s="35">
        <v>1.5381417584701726E-2</v>
      </c>
      <c r="J88" t="str" cm="1">
        <f t="array" ref="J88">IFERROR(INDEX('Campaign Data'!$A$2:$A$5,MATCH(1,(A88&gt;='Campaign Data'!$B$2:$B$5)*(A88&lt;='Campaign Data'!$C$2:$C$5),0)),"outside campaign")</f>
        <v>MyntraFestiveEdit</v>
      </c>
    </row>
    <row r="89" spans="1:10">
      <c r="A89" s="1">
        <v>45593</v>
      </c>
      <c r="B89" t="s">
        <v>25</v>
      </c>
      <c r="C89">
        <v>1814</v>
      </c>
      <c r="D89">
        <v>157</v>
      </c>
      <c r="E89">
        <f>Engagment_Summary[[#This Row],[New_Followers]]-Engagment_Summary[[#This Row],[Unfollows]]</f>
        <v>1657</v>
      </c>
      <c r="F89">
        <v>305827</v>
      </c>
      <c r="G89" s="35">
        <v>1.99</v>
      </c>
      <c r="H89">
        <v>46643</v>
      </c>
      <c r="I89" s="35">
        <v>0.54180958515762179</v>
      </c>
      <c r="J89" t="str" cm="1">
        <f t="array" ref="J89">IFERROR(INDEX('Campaign Data'!$A$2:$A$5,MATCH(1,(A89&gt;='Campaign Data'!$B$2:$B$5)*(A89&lt;='Campaign Data'!$C$2:$C$5),0)),"outside campaign")</f>
        <v>MyntraFestiveEdit</v>
      </c>
    </row>
    <row r="90" spans="1:10">
      <c r="A90" s="1">
        <v>45600</v>
      </c>
      <c r="B90" t="s">
        <v>27</v>
      </c>
      <c r="C90">
        <v>1466</v>
      </c>
      <c r="D90">
        <v>69</v>
      </c>
      <c r="E90">
        <f>Engagment_Summary[[#This Row],[New_Followers]]-Engagment_Summary[[#This Row],[Unfollows]]</f>
        <v>1397</v>
      </c>
      <c r="F90">
        <v>54935</v>
      </c>
      <c r="G90" s="35">
        <v>6.85</v>
      </c>
      <c r="H90">
        <v>36484</v>
      </c>
      <c r="I90" s="35">
        <v>2.5430053699827071</v>
      </c>
      <c r="J90" t="str" cm="1">
        <f t="array" ref="J90">IFERROR(INDEX('Campaign Data'!$A$2:$A$5,MATCH(1,(A90&gt;='Campaign Data'!$B$2:$B$5)*(A90&lt;='Campaign Data'!$C$2:$C$5),0)),"outside campaign")</f>
        <v>MyntraFestiveEdit</v>
      </c>
    </row>
    <row r="91" spans="1:10">
      <c r="A91" s="1">
        <v>45600</v>
      </c>
      <c r="B91" t="s">
        <v>34</v>
      </c>
      <c r="C91">
        <v>947</v>
      </c>
      <c r="D91">
        <v>407</v>
      </c>
      <c r="E91">
        <f>Engagment_Summary[[#This Row],[New_Followers]]-Engagment_Summary[[#This Row],[Unfollows]]</f>
        <v>540</v>
      </c>
      <c r="F91">
        <v>319186</v>
      </c>
      <c r="G91" s="35">
        <v>3.32</v>
      </c>
      <c r="H91">
        <v>4996</v>
      </c>
      <c r="I91" s="35">
        <v>0.16918035252172714</v>
      </c>
      <c r="J91" t="str" cm="1">
        <f t="array" ref="J91">IFERROR(INDEX('Campaign Data'!$A$2:$A$5,MATCH(1,(A91&gt;='Campaign Data'!$B$2:$B$5)*(A91&lt;='Campaign Data'!$C$2:$C$5),0)),"outside campaign")</f>
        <v>MyntraFestiveEdit</v>
      </c>
    </row>
    <row r="92" spans="1:10">
      <c r="A92" s="1">
        <v>45600</v>
      </c>
      <c r="B92" t="s">
        <v>14</v>
      </c>
      <c r="C92">
        <v>1821</v>
      </c>
      <c r="D92">
        <v>218</v>
      </c>
      <c r="E92">
        <f>Engagment_Summary[[#This Row],[New_Followers]]-Engagment_Summary[[#This Row],[Unfollows]]</f>
        <v>1603</v>
      </c>
      <c r="F92">
        <v>439080</v>
      </c>
      <c r="G92" s="35">
        <v>5.68</v>
      </c>
      <c r="H92">
        <v>36095</v>
      </c>
      <c r="I92" s="35">
        <v>0.36508153411678962</v>
      </c>
      <c r="J92" t="str" cm="1">
        <f t="array" ref="J92">IFERROR(INDEX('Campaign Data'!$A$2:$A$5,MATCH(1,(A92&gt;='Campaign Data'!$B$2:$B$5)*(A92&lt;='Campaign Data'!$C$2:$C$5),0)),"outside campaign")</f>
        <v>MyntraFestiveEdit</v>
      </c>
    </row>
    <row r="93" spans="1:10">
      <c r="A93" s="1">
        <v>45600</v>
      </c>
      <c r="B93" t="s">
        <v>25</v>
      </c>
      <c r="C93">
        <v>1507</v>
      </c>
      <c r="D93">
        <v>463</v>
      </c>
      <c r="E93">
        <f>Engagment_Summary[[#This Row],[New_Followers]]-Engagment_Summary[[#This Row],[Unfollows]]</f>
        <v>1044</v>
      </c>
      <c r="F93">
        <v>258944</v>
      </c>
      <c r="G93" s="35">
        <v>6.08</v>
      </c>
      <c r="H93">
        <v>16443</v>
      </c>
      <c r="I93" s="35">
        <v>0.40317597627286211</v>
      </c>
      <c r="J93" t="str" cm="1">
        <f t="array" ref="J93">IFERROR(INDEX('Campaign Data'!$A$2:$A$5,MATCH(1,(A93&gt;='Campaign Data'!$B$2:$B$5)*(A93&lt;='Campaign Data'!$C$2:$C$5),0)),"outside campaign")</f>
        <v>MyntraFestiveEdit</v>
      </c>
    </row>
    <row r="94" spans="1:10">
      <c r="A94" s="1">
        <v>45607</v>
      </c>
      <c r="B94" t="s">
        <v>27</v>
      </c>
      <c r="C94">
        <v>1075</v>
      </c>
      <c r="D94">
        <v>173</v>
      </c>
      <c r="E94">
        <f>Engagment_Summary[[#This Row],[New_Followers]]-Engagment_Summary[[#This Row],[Unfollows]]</f>
        <v>902</v>
      </c>
      <c r="F94">
        <v>51395</v>
      </c>
      <c r="G94" s="35">
        <v>4.66</v>
      </c>
      <c r="H94">
        <v>47812</v>
      </c>
      <c r="I94" s="35">
        <v>1.7550345364335054</v>
      </c>
      <c r="J94" t="str" cm="1">
        <f t="array" ref="J94">IFERROR(INDEX('Campaign Data'!$A$2:$A$5,MATCH(1,(A94&gt;='Campaign Data'!$B$2:$B$5)*(A94&lt;='Campaign Data'!$C$2:$C$5),0)),"outside campaign")</f>
        <v>outside campaign</v>
      </c>
    </row>
    <row r="95" spans="1:10">
      <c r="A95" s="1">
        <v>45607</v>
      </c>
      <c r="B95" t="s">
        <v>34</v>
      </c>
      <c r="C95">
        <v>171</v>
      </c>
      <c r="D95">
        <v>277</v>
      </c>
      <c r="E95">
        <f>Engagment_Summary[[#This Row],[New_Followers]]-Engagment_Summary[[#This Row],[Unfollows]]</f>
        <v>-106</v>
      </c>
      <c r="F95">
        <v>309483</v>
      </c>
      <c r="G95" s="35">
        <v>8.6999999999999993</v>
      </c>
      <c r="H95">
        <v>38452</v>
      </c>
      <c r="I95" s="35">
        <v>-3.4250669665215859E-2</v>
      </c>
      <c r="J95" t="str" cm="1">
        <f t="array" ref="J95">IFERROR(INDEX('Campaign Data'!$A$2:$A$5,MATCH(1,(A95&gt;='Campaign Data'!$B$2:$B$5)*(A95&lt;='Campaign Data'!$C$2:$C$5),0)),"outside campaign")</f>
        <v>outside campaign</v>
      </c>
    </row>
    <row r="96" spans="1:10">
      <c r="A96" s="1">
        <v>45607</v>
      </c>
      <c r="B96" t="s">
        <v>14</v>
      </c>
      <c r="C96">
        <v>1487</v>
      </c>
      <c r="D96">
        <v>337</v>
      </c>
      <c r="E96">
        <f>Engagment_Summary[[#This Row],[New_Followers]]-Engagment_Summary[[#This Row],[Unfollows]]</f>
        <v>1150</v>
      </c>
      <c r="F96">
        <v>87305</v>
      </c>
      <c r="G96" s="35">
        <v>2.46</v>
      </c>
      <c r="H96">
        <v>30428</v>
      </c>
      <c r="I96" s="35">
        <v>1.3172212358971422</v>
      </c>
      <c r="J96" t="str" cm="1">
        <f t="array" ref="J96">IFERROR(INDEX('Campaign Data'!$A$2:$A$5,MATCH(1,(A96&gt;='Campaign Data'!$B$2:$B$5)*(A96&lt;='Campaign Data'!$C$2:$C$5),0)),"outside campaign")</f>
        <v>outside campaign</v>
      </c>
    </row>
    <row r="97" spans="1:10">
      <c r="A97" s="1">
        <v>45607</v>
      </c>
      <c r="B97" t="s">
        <v>25</v>
      </c>
      <c r="C97">
        <v>454</v>
      </c>
      <c r="D97">
        <v>105</v>
      </c>
      <c r="E97">
        <f>Engagment_Summary[[#This Row],[New_Followers]]-Engagment_Summary[[#This Row],[Unfollows]]</f>
        <v>349</v>
      </c>
      <c r="F97">
        <v>121091</v>
      </c>
      <c r="G97" s="35">
        <v>7.97</v>
      </c>
      <c r="H97">
        <v>9269</v>
      </c>
      <c r="I97" s="35">
        <v>0.28821299683708945</v>
      </c>
      <c r="J97" t="str" cm="1">
        <f t="array" ref="J97">IFERROR(INDEX('Campaign Data'!$A$2:$A$5,MATCH(1,(A97&gt;='Campaign Data'!$B$2:$B$5)*(A97&lt;='Campaign Data'!$C$2:$C$5),0)),"outside campaign")</f>
        <v>outside campaign</v>
      </c>
    </row>
    <row r="98" spans="1:10">
      <c r="A98" s="1">
        <v>45614</v>
      </c>
      <c r="B98" t="s">
        <v>27</v>
      </c>
      <c r="C98">
        <v>187</v>
      </c>
      <c r="D98">
        <v>236</v>
      </c>
      <c r="E98">
        <f>Engagment_Summary[[#This Row],[New_Followers]]-Engagment_Summary[[#This Row],[Unfollows]]</f>
        <v>-49</v>
      </c>
      <c r="F98">
        <v>51087</v>
      </c>
      <c r="G98" s="35">
        <v>9.41</v>
      </c>
      <c r="H98">
        <v>29533</v>
      </c>
      <c r="I98" s="35">
        <v>-9.5914811987394058E-2</v>
      </c>
      <c r="J98" t="str" cm="1">
        <f t="array" ref="J98">IFERROR(INDEX('Campaign Data'!$A$2:$A$5,MATCH(1,(A98&gt;='Campaign Data'!$B$2:$B$5)*(A98&lt;='Campaign Data'!$C$2:$C$5),0)),"outside campaign")</f>
        <v>outside campaign</v>
      </c>
    </row>
    <row r="99" spans="1:10">
      <c r="A99" s="1">
        <v>45614</v>
      </c>
      <c r="B99" t="s">
        <v>34</v>
      </c>
      <c r="C99">
        <v>513</v>
      </c>
      <c r="D99">
        <v>441</v>
      </c>
      <c r="E99">
        <f>Engagment_Summary[[#This Row],[New_Followers]]-Engagment_Summary[[#This Row],[Unfollows]]</f>
        <v>72</v>
      </c>
      <c r="F99">
        <v>338847</v>
      </c>
      <c r="G99" s="35">
        <v>2.68</v>
      </c>
      <c r="H99">
        <v>39997</v>
      </c>
      <c r="I99" s="35">
        <v>2.124852809675163E-2</v>
      </c>
      <c r="J99" t="str" cm="1">
        <f t="array" ref="J99">IFERROR(INDEX('Campaign Data'!$A$2:$A$5,MATCH(1,(A99&gt;='Campaign Data'!$B$2:$B$5)*(A99&lt;='Campaign Data'!$C$2:$C$5),0)),"outside campaign")</f>
        <v>outside campaign</v>
      </c>
    </row>
    <row r="100" spans="1:10">
      <c r="A100" s="1">
        <v>45614</v>
      </c>
      <c r="B100" t="s">
        <v>14</v>
      </c>
      <c r="C100">
        <v>628</v>
      </c>
      <c r="D100">
        <v>183</v>
      </c>
      <c r="E100">
        <f>Engagment_Summary[[#This Row],[New_Followers]]-Engagment_Summary[[#This Row],[Unfollows]]</f>
        <v>445</v>
      </c>
      <c r="F100">
        <v>487523</v>
      </c>
      <c r="G100" s="35">
        <v>7.32</v>
      </c>
      <c r="H100">
        <v>5391</v>
      </c>
      <c r="I100" s="35">
        <v>9.1277744844858608E-2</v>
      </c>
      <c r="J100" t="str" cm="1">
        <f t="array" ref="J100">IFERROR(INDEX('Campaign Data'!$A$2:$A$5,MATCH(1,(A100&gt;='Campaign Data'!$B$2:$B$5)*(A100&lt;='Campaign Data'!$C$2:$C$5),0)),"outside campaign")</f>
        <v>outside campaign</v>
      </c>
    </row>
    <row r="101" spans="1:10">
      <c r="A101" s="1">
        <v>45614</v>
      </c>
      <c r="B101" t="s">
        <v>25</v>
      </c>
      <c r="C101">
        <v>278</v>
      </c>
      <c r="D101">
        <v>218</v>
      </c>
      <c r="E101">
        <f>Engagment_Summary[[#This Row],[New_Followers]]-Engagment_Summary[[#This Row],[Unfollows]]</f>
        <v>60</v>
      </c>
      <c r="F101">
        <v>301695</v>
      </c>
      <c r="G101" s="35">
        <v>4.68</v>
      </c>
      <c r="H101">
        <v>22373</v>
      </c>
      <c r="I101" s="35">
        <v>1.9887634863023914E-2</v>
      </c>
      <c r="J101" t="str" cm="1">
        <f t="array" ref="J101">IFERROR(INDEX('Campaign Data'!$A$2:$A$5,MATCH(1,(A101&gt;='Campaign Data'!$B$2:$B$5)*(A101&lt;='Campaign Data'!$C$2:$C$5),0)),"outside campaign")</f>
        <v>outside campaign</v>
      </c>
    </row>
    <row r="102" spans="1:10">
      <c r="A102" s="1">
        <v>45621</v>
      </c>
      <c r="B102" t="s">
        <v>27</v>
      </c>
      <c r="C102">
        <v>1854</v>
      </c>
      <c r="D102">
        <v>161</v>
      </c>
      <c r="E102">
        <f>Engagment_Summary[[#This Row],[New_Followers]]-Engagment_Summary[[#This Row],[Unfollows]]</f>
        <v>1693</v>
      </c>
      <c r="F102">
        <v>282466</v>
      </c>
      <c r="G102" s="35">
        <v>5.17</v>
      </c>
      <c r="H102">
        <v>1810</v>
      </c>
      <c r="I102" s="35">
        <v>0.59936417126309005</v>
      </c>
      <c r="J102" t="str" cm="1">
        <f t="array" ref="J102">IFERROR(INDEX('Campaign Data'!$A$2:$A$5,MATCH(1,(A102&gt;='Campaign Data'!$B$2:$B$5)*(A102&lt;='Campaign Data'!$C$2:$C$5),0)),"outside campaign")</f>
        <v>outside campaign</v>
      </c>
    </row>
    <row r="103" spans="1:10">
      <c r="A103" s="1">
        <v>45621</v>
      </c>
      <c r="B103" t="s">
        <v>34</v>
      </c>
      <c r="C103">
        <v>1710</v>
      </c>
      <c r="D103">
        <v>378</v>
      </c>
      <c r="E103">
        <f>Engagment_Summary[[#This Row],[New_Followers]]-Engagment_Summary[[#This Row],[Unfollows]]</f>
        <v>1332</v>
      </c>
      <c r="F103">
        <v>336661</v>
      </c>
      <c r="G103" s="35">
        <v>6.2</v>
      </c>
      <c r="H103">
        <v>28498</v>
      </c>
      <c r="I103" s="35">
        <v>0.39565022381564841</v>
      </c>
      <c r="J103" t="str" cm="1">
        <f t="array" ref="J103">IFERROR(INDEX('Campaign Data'!$A$2:$A$5,MATCH(1,(A103&gt;='Campaign Data'!$B$2:$B$5)*(A103&lt;='Campaign Data'!$C$2:$C$5),0)),"outside campaign")</f>
        <v>outside campaign</v>
      </c>
    </row>
    <row r="104" spans="1:10">
      <c r="A104" s="1">
        <v>45621</v>
      </c>
      <c r="B104" t="s">
        <v>14</v>
      </c>
      <c r="C104">
        <v>330</v>
      </c>
      <c r="D104">
        <v>232</v>
      </c>
      <c r="E104">
        <f>Engagment_Summary[[#This Row],[New_Followers]]-Engagment_Summary[[#This Row],[Unfollows]]</f>
        <v>98</v>
      </c>
      <c r="F104">
        <v>88455</v>
      </c>
      <c r="G104" s="35">
        <v>2.69</v>
      </c>
      <c r="H104">
        <v>39530</v>
      </c>
      <c r="I104" s="35">
        <v>0.11079079758069074</v>
      </c>
      <c r="J104" t="str" cm="1">
        <f t="array" ref="J104">IFERROR(INDEX('Campaign Data'!$A$2:$A$5,MATCH(1,(A104&gt;='Campaign Data'!$B$2:$B$5)*(A104&lt;='Campaign Data'!$C$2:$C$5),0)),"outside campaign")</f>
        <v>outside campaign</v>
      </c>
    </row>
    <row r="105" spans="1:10">
      <c r="A105" s="1">
        <v>45621</v>
      </c>
      <c r="B105" t="s">
        <v>25</v>
      </c>
      <c r="C105">
        <v>1293</v>
      </c>
      <c r="D105">
        <v>408</v>
      </c>
      <c r="E105">
        <f>Engagment_Summary[[#This Row],[New_Followers]]-Engagment_Summary[[#This Row],[Unfollows]]</f>
        <v>885</v>
      </c>
      <c r="F105">
        <v>62535</v>
      </c>
      <c r="G105" s="35">
        <v>8.9</v>
      </c>
      <c r="H105">
        <v>37876</v>
      </c>
      <c r="I105" s="35">
        <v>1.4152074838090669</v>
      </c>
      <c r="J105" t="str" cm="1">
        <f t="array" ref="J105">IFERROR(INDEX('Campaign Data'!$A$2:$A$5,MATCH(1,(A105&gt;='Campaign Data'!$B$2:$B$5)*(A105&lt;='Campaign Data'!$C$2:$C$5),0)),"outside campaign")</f>
        <v>outside campaign</v>
      </c>
    </row>
    <row r="106" spans="1:10">
      <c r="A106" s="1">
        <v>45628</v>
      </c>
      <c r="B106" t="s">
        <v>27</v>
      </c>
      <c r="C106">
        <v>1696</v>
      </c>
      <c r="D106">
        <v>71</v>
      </c>
      <c r="E106">
        <f>Engagment_Summary[[#This Row],[New_Followers]]-Engagment_Summary[[#This Row],[Unfollows]]</f>
        <v>1625</v>
      </c>
      <c r="F106">
        <v>421957</v>
      </c>
      <c r="G106" s="35">
        <v>3.79</v>
      </c>
      <c r="H106">
        <v>36103</v>
      </c>
      <c r="I106" s="35">
        <v>0.38511033114748661</v>
      </c>
      <c r="J106" t="str" cm="1">
        <f t="array" ref="J106">IFERROR(INDEX('Campaign Data'!$A$2:$A$5,MATCH(1,(A106&gt;='Campaign Data'!$B$2:$B$5)*(A106&lt;='Campaign Data'!$C$2:$C$5),0)),"outside campaign")</f>
        <v>outside campaign</v>
      </c>
    </row>
    <row r="107" spans="1:10">
      <c r="A107" s="1">
        <v>45628</v>
      </c>
      <c r="B107" t="s">
        <v>34</v>
      </c>
      <c r="C107">
        <v>1902</v>
      </c>
      <c r="D107">
        <v>196</v>
      </c>
      <c r="E107">
        <f>Engagment_Summary[[#This Row],[New_Followers]]-Engagment_Summary[[#This Row],[Unfollows]]</f>
        <v>1706</v>
      </c>
      <c r="F107">
        <v>470269</v>
      </c>
      <c r="G107" s="35">
        <v>4.79</v>
      </c>
      <c r="H107">
        <v>26103</v>
      </c>
      <c r="I107" s="35">
        <v>0.36277109484146308</v>
      </c>
      <c r="J107" t="str" cm="1">
        <f t="array" ref="J107">IFERROR(INDEX('Campaign Data'!$A$2:$A$5,MATCH(1,(A107&gt;='Campaign Data'!$B$2:$B$5)*(A107&lt;='Campaign Data'!$C$2:$C$5),0)),"outside campaign")</f>
        <v>outside campaign</v>
      </c>
    </row>
    <row r="108" spans="1:10">
      <c r="A108" s="1">
        <v>45628</v>
      </c>
      <c r="B108" t="s">
        <v>14</v>
      </c>
      <c r="C108">
        <v>1441</v>
      </c>
      <c r="D108">
        <v>268</v>
      </c>
      <c r="E108">
        <f>Engagment_Summary[[#This Row],[New_Followers]]-Engagment_Summary[[#This Row],[Unfollows]]</f>
        <v>1173</v>
      </c>
      <c r="F108">
        <v>309904</v>
      </c>
      <c r="G108" s="35">
        <v>6.37</v>
      </c>
      <c r="H108">
        <v>3455</v>
      </c>
      <c r="I108" s="35">
        <v>0.37850431101244258</v>
      </c>
      <c r="J108" t="str" cm="1">
        <f t="array" ref="J108">IFERROR(INDEX('Campaign Data'!$A$2:$A$5,MATCH(1,(A108&gt;='Campaign Data'!$B$2:$B$5)*(A108&lt;='Campaign Data'!$C$2:$C$5),0)),"outside campaign")</f>
        <v>outside campaign</v>
      </c>
    </row>
    <row r="109" spans="1:10">
      <c r="A109" s="1">
        <v>45628</v>
      </c>
      <c r="B109" t="s">
        <v>25</v>
      </c>
      <c r="C109">
        <v>452</v>
      </c>
      <c r="D109">
        <v>161</v>
      </c>
      <c r="E109">
        <f>Engagment_Summary[[#This Row],[New_Followers]]-Engagment_Summary[[#This Row],[Unfollows]]</f>
        <v>291</v>
      </c>
      <c r="F109">
        <v>221274</v>
      </c>
      <c r="G109" s="35">
        <v>2.65</v>
      </c>
      <c r="H109">
        <v>40888</v>
      </c>
      <c r="I109" s="35">
        <v>0.13151115811166245</v>
      </c>
      <c r="J109" t="str" cm="1">
        <f t="array" ref="J109">IFERROR(INDEX('Campaign Data'!$A$2:$A$5,MATCH(1,(A109&gt;='Campaign Data'!$B$2:$B$5)*(A109&lt;='Campaign Data'!$C$2:$C$5),0)),"outside campaign")</f>
        <v>outside campaign</v>
      </c>
    </row>
    <row r="110" spans="1:10">
      <c r="A110" s="1">
        <v>45635</v>
      </c>
      <c r="B110" t="s">
        <v>27</v>
      </c>
      <c r="C110">
        <v>1494</v>
      </c>
      <c r="D110">
        <v>375</v>
      </c>
      <c r="E110">
        <f>Engagment_Summary[[#This Row],[New_Followers]]-Engagment_Summary[[#This Row],[Unfollows]]</f>
        <v>1119</v>
      </c>
      <c r="F110">
        <v>220616</v>
      </c>
      <c r="G110" s="35">
        <v>1.81</v>
      </c>
      <c r="H110">
        <v>22724</v>
      </c>
      <c r="I110" s="35">
        <v>0.5072161583928636</v>
      </c>
      <c r="J110" t="str" cm="1">
        <f t="array" ref="J110">IFERROR(INDEX('Campaign Data'!$A$2:$A$5,MATCH(1,(A110&gt;='Campaign Data'!$B$2:$B$5)*(A110&lt;='Campaign Data'!$C$2:$C$5),0)),"outside campaign")</f>
        <v>outside campaign</v>
      </c>
    </row>
    <row r="111" spans="1:10">
      <c r="A111" s="1">
        <v>45635</v>
      </c>
      <c r="B111" t="s">
        <v>34</v>
      </c>
      <c r="C111">
        <v>1514</v>
      </c>
      <c r="D111">
        <v>141</v>
      </c>
      <c r="E111">
        <f>Engagment_Summary[[#This Row],[New_Followers]]-Engagment_Summary[[#This Row],[Unfollows]]</f>
        <v>1373</v>
      </c>
      <c r="F111">
        <v>35842</v>
      </c>
      <c r="G111" s="35">
        <v>7.47</v>
      </c>
      <c r="H111">
        <v>18601</v>
      </c>
      <c r="I111" s="35">
        <v>3.8307014117515763</v>
      </c>
      <c r="J111" t="str" cm="1">
        <f t="array" ref="J111">IFERROR(INDEX('Campaign Data'!$A$2:$A$5,MATCH(1,(A111&gt;='Campaign Data'!$B$2:$B$5)*(A111&lt;='Campaign Data'!$C$2:$C$5),0)),"outside campaign")</f>
        <v>outside campaign</v>
      </c>
    </row>
    <row r="112" spans="1:10">
      <c r="A112" s="1">
        <v>45635</v>
      </c>
      <c r="B112" t="s">
        <v>14</v>
      </c>
      <c r="C112">
        <v>1937</v>
      </c>
      <c r="D112">
        <v>210</v>
      </c>
      <c r="E112">
        <f>Engagment_Summary[[#This Row],[New_Followers]]-Engagment_Summary[[#This Row],[Unfollows]]</f>
        <v>1727</v>
      </c>
      <c r="F112">
        <v>20607</v>
      </c>
      <c r="G112" s="35">
        <v>4.2</v>
      </c>
      <c r="H112">
        <v>20861</v>
      </c>
      <c r="I112" s="35">
        <v>8.3806473528412688</v>
      </c>
      <c r="J112" t="str" cm="1">
        <f t="array" ref="J112">IFERROR(INDEX('Campaign Data'!$A$2:$A$5,MATCH(1,(A112&gt;='Campaign Data'!$B$2:$B$5)*(A112&lt;='Campaign Data'!$C$2:$C$5),0)),"outside campaign")</f>
        <v>outside campaign</v>
      </c>
    </row>
    <row r="113" spans="1:10">
      <c r="A113" s="1">
        <v>45635</v>
      </c>
      <c r="B113" t="s">
        <v>25</v>
      </c>
      <c r="C113">
        <v>736</v>
      </c>
      <c r="D113">
        <v>163</v>
      </c>
      <c r="E113">
        <f>Engagment_Summary[[#This Row],[New_Followers]]-Engagment_Summary[[#This Row],[Unfollows]]</f>
        <v>573</v>
      </c>
      <c r="F113">
        <v>451894</v>
      </c>
      <c r="G113" s="35">
        <v>5.43</v>
      </c>
      <c r="H113">
        <v>46625</v>
      </c>
      <c r="I113" s="35">
        <v>0.12679964770499277</v>
      </c>
      <c r="J113" t="str" cm="1">
        <f t="array" ref="J113">IFERROR(INDEX('Campaign Data'!$A$2:$A$5,MATCH(1,(A113&gt;='Campaign Data'!$B$2:$B$5)*(A113&lt;='Campaign Data'!$C$2:$C$5),0)),"outside campaign")</f>
        <v>outside campaign</v>
      </c>
    </row>
    <row r="114" spans="1:10">
      <c r="A114" s="1">
        <v>45642</v>
      </c>
      <c r="B114" t="s">
        <v>27</v>
      </c>
      <c r="C114">
        <v>1502</v>
      </c>
      <c r="D114">
        <v>70</v>
      </c>
      <c r="E114">
        <f>Engagment_Summary[[#This Row],[New_Followers]]-Engagment_Summary[[#This Row],[Unfollows]]</f>
        <v>1432</v>
      </c>
      <c r="F114">
        <v>465553</v>
      </c>
      <c r="G114" s="35">
        <v>3.32</v>
      </c>
      <c r="H114">
        <v>20692</v>
      </c>
      <c r="I114" s="35">
        <v>0.30759118725472717</v>
      </c>
      <c r="J114" t="str" cm="1">
        <f t="array" ref="J114">IFERROR(INDEX('Campaign Data'!$A$2:$A$5,MATCH(1,(A114&gt;='Campaign Data'!$B$2:$B$5)*(A114&lt;='Campaign Data'!$C$2:$C$5),0)),"outside campaign")</f>
        <v>outside campaign</v>
      </c>
    </row>
    <row r="115" spans="1:10">
      <c r="A115" s="1">
        <v>45642</v>
      </c>
      <c r="B115" t="s">
        <v>34</v>
      </c>
      <c r="C115">
        <v>1623</v>
      </c>
      <c r="D115">
        <v>246</v>
      </c>
      <c r="E115">
        <f>Engagment_Summary[[#This Row],[New_Followers]]-Engagment_Summary[[#This Row],[Unfollows]]</f>
        <v>1377</v>
      </c>
      <c r="F115">
        <v>415815</v>
      </c>
      <c r="G115" s="35">
        <v>8.11</v>
      </c>
      <c r="H115">
        <v>18656</v>
      </c>
      <c r="I115" s="35">
        <v>0.33115688467227011</v>
      </c>
      <c r="J115" t="str" cm="1">
        <f t="array" ref="J115">IFERROR(INDEX('Campaign Data'!$A$2:$A$5,MATCH(1,(A115&gt;='Campaign Data'!$B$2:$B$5)*(A115&lt;='Campaign Data'!$C$2:$C$5),0)),"outside campaign")</f>
        <v>outside campaign</v>
      </c>
    </row>
    <row r="116" spans="1:10">
      <c r="A116" s="1">
        <v>45642</v>
      </c>
      <c r="B116" t="s">
        <v>14</v>
      </c>
      <c r="C116">
        <v>1592</v>
      </c>
      <c r="D116">
        <v>233</v>
      </c>
      <c r="E116">
        <f>Engagment_Summary[[#This Row],[New_Followers]]-Engagment_Summary[[#This Row],[Unfollows]]</f>
        <v>1359</v>
      </c>
      <c r="F116">
        <v>327183</v>
      </c>
      <c r="G116" s="35">
        <v>6.66</v>
      </c>
      <c r="H116">
        <v>13316</v>
      </c>
      <c r="I116" s="35">
        <v>0.41536387893013998</v>
      </c>
      <c r="J116" t="str" cm="1">
        <f t="array" ref="J116">IFERROR(INDEX('Campaign Data'!$A$2:$A$5,MATCH(1,(A116&gt;='Campaign Data'!$B$2:$B$5)*(A116&lt;='Campaign Data'!$C$2:$C$5),0)),"outside campaign")</f>
        <v>outside campaign</v>
      </c>
    </row>
    <row r="117" spans="1:10">
      <c r="A117" s="1">
        <v>45642</v>
      </c>
      <c r="B117" t="s">
        <v>25</v>
      </c>
      <c r="C117">
        <v>1004</v>
      </c>
      <c r="D117">
        <v>128</v>
      </c>
      <c r="E117">
        <f>Engagment_Summary[[#This Row],[New_Followers]]-Engagment_Summary[[#This Row],[Unfollows]]</f>
        <v>876</v>
      </c>
      <c r="F117">
        <v>488901</v>
      </c>
      <c r="G117" s="35">
        <v>8.09</v>
      </c>
      <c r="H117">
        <v>49558</v>
      </c>
      <c r="I117" s="35">
        <v>0.17917737946946316</v>
      </c>
      <c r="J117" t="str" cm="1">
        <f t="array" ref="J117">IFERROR(INDEX('Campaign Data'!$A$2:$A$5,MATCH(1,(A117&gt;='Campaign Data'!$B$2:$B$5)*(A117&lt;='Campaign Data'!$C$2:$C$5),0)),"outside campaign")</f>
        <v>outside campaign</v>
      </c>
    </row>
    <row r="118" spans="1:10">
      <c r="A118" s="1">
        <v>45649</v>
      </c>
      <c r="B118" t="s">
        <v>27</v>
      </c>
      <c r="C118">
        <v>1092</v>
      </c>
      <c r="D118">
        <v>408</v>
      </c>
      <c r="E118">
        <f>Engagment_Summary[[#This Row],[New_Followers]]-Engagment_Summary[[#This Row],[Unfollows]]</f>
        <v>684</v>
      </c>
      <c r="F118">
        <v>280795</v>
      </c>
      <c r="G118" s="35">
        <v>8.44</v>
      </c>
      <c r="H118">
        <v>4683</v>
      </c>
      <c r="I118" s="35">
        <v>0.24359408109118752</v>
      </c>
      <c r="J118" t="str" cm="1">
        <f t="array" ref="J118">IFERROR(INDEX('Campaign Data'!$A$2:$A$5,MATCH(1,(A118&gt;='Campaign Data'!$B$2:$B$5)*(A118&lt;='Campaign Data'!$C$2:$C$5),0)),"outside campaign")</f>
        <v>outside campaign</v>
      </c>
    </row>
    <row r="119" spans="1:10">
      <c r="A119" s="1">
        <v>45649</v>
      </c>
      <c r="B119" t="s">
        <v>34</v>
      </c>
      <c r="C119">
        <v>1155</v>
      </c>
      <c r="D119">
        <v>425</v>
      </c>
      <c r="E119">
        <f>Engagment_Summary[[#This Row],[New_Followers]]-Engagment_Summary[[#This Row],[Unfollows]]</f>
        <v>730</v>
      </c>
      <c r="F119">
        <v>93347</v>
      </c>
      <c r="G119" s="35">
        <v>2.02</v>
      </c>
      <c r="H119">
        <v>47502</v>
      </c>
      <c r="I119" s="35">
        <v>0.78202834584935776</v>
      </c>
      <c r="J119" t="str" cm="1">
        <f t="array" ref="J119">IFERROR(INDEX('Campaign Data'!$A$2:$A$5,MATCH(1,(A119&gt;='Campaign Data'!$B$2:$B$5)*(A119&lt;='Campaign Data'!$C$2:$C$5),0)),"outside campaign")</f>
        <v>outside campaign</v>
      </c>
    </row>
    <row r="120" spans="1:10">
      <c r="A120" s="1">
        <v>45649</v>
      </c>
      <c r="B120" t="s">
        <v>14</v>
      </c>
      <c r="C120">
        <v>1137</v>
      </c>
      <c r="D120">
        <v>226</v>
      </c>
      <c r="E120">
        <f>Engagment_Summary[[#This Row],[New_Followers]]-Engagment_Summary[[#This Row],[Unfollows]]</f>
        <v>911</v>
      </c>
      <c r="F120">
        <v>81119</v>
      </c>
      <c r="G120" s="35">
        <v>7.74</v>
      </c>
      <c r="H120">
        <v>35359</v>
      </c>
      <c r="I120" s="35">
        <v>1.123041457611657</v>
      </c>
      <c r="J120" t="str" cm="1">
        <f t="array" ref="J120">IFERROR(INDEX('Campaign Data'!$A$2:$A$5,MATCH(1,(A120&gt;='Campaign Data'!$B$2:$B$5)*(A120&lt;='Campaign Data'!$C$2:$C$5),0)),"outside campaign")</f>
        <v>outside campaign</v>
      </c>
    </row>
    <row r="121" spans="1:10">
      <c r="A121" s="1">
        <v>45649</v>
      </c>
      <c r="B121" t="s">
        <v>25</v>
      </c>
      <c r="C121">
        <v>1900</v>
      </c>
      <c r="D121">
        <v>311</v>
      </c>
      <c r="E121">
        <f>Engagment_Summary[[#This Row],[New_Followers]]-Engagment_Summary[[#This Row],[Unfollows]]</f>
        <v>1589</v>
      </c>
      <c r="F121">
        <v>25177</v>
      </c>
      <c r="G121" s="35">
        <v>2.89</v>
      </c>
      <c r="H121">
        <v>14154</v>
      </c>
      <c r="I121" s="35">
        <v>6.3113158835445047</v>
      </c>
      <c r="J121" t="str" cm="1">
        <f t="array" ref="J121">IFERROR(INDEX('Campaign Data'!$A$2:$A$5,MATCH(1,(A121&gt;='Campaign Data'!$B$2:$B$5)*(A121&lt;='Campaign Data'!$C$2:$C$5),0)),"outside campaign")</f>
        <v>outside campaign</v>
      </c>
    </row>
    <row r="122" spans="1:10">
      <c r="A122" s="1">
        <v>45656</v>
      </c>
      <c r="B122" t="s">
        <v>27</v>
      </c>
      <c r="C122">
        <v>1814</v>
      </c>
      <c r="D122">
        <v>49</v>
      </c>
      <c r="E122">
        <f>Engagment_Summary[[#This Row],[New_Followers]]-Engagment_Summary[[#This Row],[Unfollows]]</f>
        <v>1765</v>
      </c>
      <c r="F122">
        <v>140804</v>
      </c>
      <c r="G122" s="35">
        <v>1.76</v>
      </c>
      <c r="H122">
        <v>4313</v>
      </c>
      <c r="I122" s="35">
        <v>1.2535155251271271</v>
      </c>
      <c r="J122" t="str" cm="1">
        <f t="array" ref="J122">IFERROR(INDEX('Campaign Data'!$A$2:$A$5,MATCH(1,(A122&gt;='Campaign Data'!$B$2:$B$5)*(A122&lt;='Campaign Data'!$C$2:$C$5),0)),"outside campaign")</f>
        <v>outside campaign</v>
      </c>
    </row>
    <row r="123" spans="1:10">
      <c r="A123" s="1">
        <v>45656</v>
      </c>
      <c r="B123" t="s">
        <v>34</v>
      </c>
      <c r="C123">
        <v>1980</v>
      </c>
      <c r="D123">
        <v>204</v>
      </c>
      <c r="E123">
        <f>Engagment_Summary[[#This Row],[New_Followers]]-Engagment_Summary[[#This Row],[Unfollows]]</f>
        <v>1776</v>
      </c>
      <c r="F123">
        <v>379431</v>
      </c>
      <c r="G123" s="35">
        <v>3.09</v>
      </c>
      <c r="H123">
        <v>25140</v>
      </c>
      <c r="I123" s="35">
        <v>0.46806929323118035</v>
      </c>
      <c r="J123" t="str" cm="1">
        <f t="array" ref="J123">IFERROR(INDEX('Campaign Data'!$A$2:$A$5,MATCH(1,(A123&gt;='Campaign Data'!$B$2:$B$5)*(A123&lt;='Campaign Data'!$C$2:$C$5),0)),"outside campaign")</f>
        <v>outside campaign</v>
      </c>
    </row>
    <row r="124" spans="1:10">
      <c r="A124" s="1">
        <v>45656</v>
      </c>
      <c r="B124" t="s">
        <v>14</v>
      </c>
      <c r="C124">
        <v>1786</v>
      </c>
      <c r="D124">
        <v>257</v>
      </c>
      <c r="E124">
        <f>Engagment_Summary[[#This Row],[New_Followers]]-Engagment_Summary[[#This Row],[Unfollows]]</f>
        <v>1529</v>
      </c>
      <c r="F124">
        <v>274831</v>
      </c>
      <c r="G124" s="35">
        <v>4.68</v>
      </c>
      <c r="H124">
        <v>9118</v>
      </c>
      <c r="I124" s="35">
        <v>0.55634189738421069</v>
      </c>
      <c r="J124" t="str" cm="1">
        <f t="array" ref="J124">IFERROR(INDEX('Campaign Data'!$A$2:$A$5,MATCH(1,(A124&gt;='Campaign Data'!$B$2:$B$5)*(A124&lt;='Campaign Data'!$C$2:$C$5),0)),"outside campaign")</f>
        <v>outside campaign</v>
      </c>
    </row>
    <row r="125" spans="1:10">
      <c r="A125" s="1">
        <v>45656</v>
      </c>
      <c r="B125" t="s">
        <v>25</v>
      </c>
      <c r="C125">
        <v>1495</v>
      </c>
      <c r="D125">
        <v>35</v>
      </c>
      <c r="E125">
        <f>Engagment_Summary[[#This Row],[New_Followers]]-Engagment_Summary[[#This Row],[Unfollows]]</f>
        <v>1460</v>
      </c>
      <c r="F125">
        <v>136845</v>
      </c>
      <c r="G125" s="35">
        <v>4.4800000000000004</v>
      </c>
      <c r="H125">
        <v>39931</v>
      </c>
      <c r="I125" s="35">
        <v>1.0669005078738718</v>
      </c>
      <c r="J125" t="str" cm="1">
        <f t="array" ref="J125">IFERROR(INDEX('Campaign Data'!$A$2:$A$5,MATCH(1,(A125&gt;='Campaign Data'!$B$2:$B$5)*(A125&lt;='Campaign Data'!$C$2:$C$5),0)),"outside campaign")</f>
        <v>outside campaign</v>
      </c>
    </row>
    <row r="126" spans="1:10">
      <c r="A126" s="1">
        <v>45663</v>
      </c>
      <c r="B126" t="s">
        <v>27</v>
      </c>
      <c r="C126">
        <v>1013</v>
      </c>
      <c r="D126">
        <v>110</v>
      </c>
      <c r="E126">
        <f>Engagment_Summary[[#This Row],[New_Followers]]-Engagment_Summary[[#This Row],[Unfollows]]</f>
        <v>903</v>
      </c>
      <c r="F126">
        <v>466382</v>
      </c>
      <c r="G126" s="35">
        <v>5.3</v>
      </c>
      <c r="H126">
        <v>37132</v>
      </c>
      <c r="I126" s="35">
        <v>0.19361810704529764</v>
      </c>
      <c r="J126" t="str" cm="1">
        <f t="array" ref="J126">IFERROR(INDEX('Campaign Data'!$A$2:$A$5,MATCH(1,(A126&gt;='Campaign Data'!$B$2:$B$5)*(A126&lt;='Campaign Data'!$C$2:$C$5),0)),"outside campaign")</f>
        <v>outside campaign</v>
      </c>
    </row>
    <row r="127" spans="1:10">
      <c r="A127" s="1">
        <v>45663</v>
      </c>
      <c r="B127" t="s">
        <v>34</v>
      </c>
      <c r="C127">
        <v>816</v>
      </c>
      <c r="D127">
        <v>196</v>
      </c>
      <c r="E127">
        <f>Engagment_Summary[[#This Row],[New_Followers]]-Engagment_Summary[[#This Row],[Unfollows]]</f>
        <v>620</v>
      </c>
      <c r="F127">
        <v>95728</v>
      </c>
      <c r="G127" s="35">
        <v>8.1999999999999993</v>
      </c>
      <c r="H127">
        <v>17951</v>
      </c>
      <c r="I127" s="35">
        <v>0.64766839378238339</v>
      </c>
      <c r="J127" t="str" cm="1">
        <f t="array" ref="J127">IFERROR(INDEX('Campaign Data'!$A$2:$A$5,MATCH(1,(A127&gt;='Campaign Data'!$B$2:$B$5)*(A127&lt;='Campaign Data'!$C$2:$C$5),0)),"outside campaign")</f>
        <v>outside campaign</v>
      </c>
    </row>
    <row r="128" spans="1:10">
      <c r="A128" s="1">
        <v>45663</v>
      </c>
      <c r="B128" t="s">
        <v>14</v>
      </c>
      <c r="C128">
        <v>1633</v>
      </c>
      <c r="D128">
        <v>445</v>
      </c>
      <c r="E128">
        <f>Engagment_Summary[[#This Row],[New_Followers]]-Engagment_Summary[[#This Row],[Unfollows]]</f>
        <v>1188</v>
      </c>
      <c r="F128">
        <v>371156</v>
      </c>
      <c r="G128" s="35">
        <v>2.2200000000000002</v>
      </c>
      <c r="H128">
        <v>2798</v>
      </c>
      <c r="I128" s="35">
        <v>0.32008104408927779</v>
      </c>
      <c r="J128" t="str" cm="1">
        <f t="array" ref="J128">IFERROR(INDEX('Campaign Data'!$A$2:$A$5,MATCH(1,(A128&gt;='Campaign Data'!$B$2:$B$5)*(A128&lt;='Campaign Data'!$C$2:$C$5),0)),"outside campaign")</f>
        <v>outside campaign</v>
      </c>
    </row>
    <row r="129" spans="1:10">
      <c r="A129" s="1">
        <v>45663</v>
      </c>
      <c r="B129" t="s">
        <v>25</v>
      </c>
      <c r="C129">
        <v>891</v>
      </c>
      <c r="D129">
        <v>45</v>
      </c>
      <c r="E129">
        <f>Engagment_Summary[[#This Row],[New_Followers]]-Engagment_Summary[[#This Row],[Unfollows]]</f>
        <v>846</v>
      </c>
      <c r="F129">
        <v>95410</v>
      </c>
      <c r="G129" s="35">
        <v>8.33</v>
      </c>
      <c r="H129">
        <v>15045</v>
      </c>
      <c r="I129" s="35">
        <v>0.88669950738916259</v>
      </c>
      <c r="J129" t="str" cm="1">
        <f t="array" ref="J129">IFERROR(INDEX('Campaign Data'!$A$2:$A$5,MATCH(1,(A129&gt;='Campaign Data'!$B$2:$B$5)*(A129&lt;='Campaign Data'!$C$2:$C$5),0)),"outside campaign")</f>
        <v>outside campaign</v>
      </c>
    </row>
    <row r="130" spans="1:10">
      <c r="A130" s="1">
        <v>45670</v>
      </c>
      <c r="B130" t="s">
        <v>27</v>
      </c>
      <c r="C130">
        <v>1855</v>
      </c>
      <c r="D130">
        <v>133</v>
      </c>
      <c r="E130">
        <f>Engagment_Summary[[#This Row],[New_Followers]]-Engagment_Summary[[#This Row],[Unfollows]]</f>
        <v>1722</v>
      </c>
      <c r="F130">
        <v>349413</v>
      </c>
      <c r="G130" s="35">
        <v>3.3</v>
      </c>
      <c r="H130">
        <v>14548</v>
      </c>
      <c r="I130" s="35">
        <v>0.49282654051223052</v>
      </c>
      <c r="J130" t="str" cm="1">
        <f t="array" ref="J130">IFERROR(INDEX('Campaign Data'!$A$2:$A$5,MATCH(1,(A130&gt;='Campaign Data'!$B$2:$B$5)*(A130&lt;='Campaign Data'!$C$2:$C$5),0)),"outside campaign")</f>
        <v>StyleRevolution</v>
      </c>
    </row>
    <row r="131" spans="1:10">
      <c r="A131" s="1">
        <v>45670</v>
      </c>
      <c r="B131" t="s">
        <v>34</v>
      </c>
      <c r="C131">
        <v>651</v>
      </c>
      <c r="D131">
        <v>353</v>
      </c>
      <c r="E131">
        <f>Engagment_Summary[[#This Row],[New_Followers]]-Engagment_Summary[[#This Row],[Unfollows]]</f>
        <v>298</v>
      </c>
      <c r="F131">
        <v>224699</v>
      </c>
      <c r="G131" s="35">
        <v>5.61</v>
      </c>
      <c r="H131">
        <v>45708</v>
      </c>
      <c r="I131" s="35">
        <v>0.13262186302564766</v>
      </c>
      <c r="J131" t="str" cm="1">
        <f t="array" ref="J131">IFERROR(INDEX('Campaign Data'!$A$2:$A$5,MATCH(1,(A131&gt;='Campaign Data'!$B$2:$B$5)*(A131&lt;='Campaign Data'!$C$2:$C$5),0)),"outside campaign")</f>
        <v>StyleRevolution</v>
      </c>
    </row>
    <row r="132" spans="1:10">
      <c r="A132" s="1">
        <v>45670</v>
      </c>
      <c r="B132" t="s">
        <v>14</v>
      </c>
      <c r="C132">
        <v>118</v>
      </c>
      <c r="D132">
        <v>262</v>
      </c>
      <c r="E132">
        <f>Engagment_Summary[[#This Row],[New_Followers]]-Engagment_Summary[[#This Row],[Unfollows]]</f>
        <v>-144</v>
      </c>
      <c r="F132">
        <v>487896</v>
      </c>
      <c r="G132" s="35">
        <v>2.56</v>
      </c>
      <c r="H132">
        <v>12350</v>
      </c>
      <c r="I132" s="35">
        <v>-2.9514486693885584E-2</v>
      </c>
      <c r="J132" t="str" cm="1">
        <f t="array" ref="J132">IFERROR(INDEX('Campaign Data'!$A$2:$A$5,MATCH(1,(A132&gt;='Campaign Data'!$B$2:$B$5)*(A132&lt;='Campaign Data'!$C$2:$C$5),0)),"outside campaign")</f>
        <v>StyleRevolution</v>
      </c>
    </row>
    <row r="133" spans="1:10">
      <c r="A133" s="1">
        <v>45670</v>
      </c>
      <c r="B133" t="s">
        <v>25</v>
      </c>
      <c r="C133">
        <v>1331</v>
      </c>
      <c r="D133">
        <v>430</v>
      </c>
      <c r="E133">
        <f>Engagment_Summary[[#This Row],[New_Followers]]-Engagment_Summary[[#This Row],[Unfollows]]</f>
        <v>901</v>
      </c>
      <c r="F133">
        <v>14437</v>
      </c>
      <c r="G133" s="35">
        <v>3.29</v>
      </c>
      <c r="H133">
        <v>40868</v>
      </c>
      <c r="I133" s="35">
        <v>6.2409087760615085</v>
      </c>
      <c r="J133" t="str" cm="1">
        <f t="array" ref="J133">IFERROR(INDEX('Campaign Data'!$A$2:$A$5,MATCH(1,(A133&gt;='Campaign Data'!$B$2:$B$5)*(A133&lt;='Campaign Data'!$C$2:$C$5),0)),"outside campaign")</f>
        <v>StyleRevolution</v>
      </c>
    </row>
    <row r="134" spans="1:10">
      <c r="A134" s="1">
        <v>45677</v>
      </c>
      <c r="B134" t="s">
        <v>27</v>
      </c>
      <c r="C134">
        <v>1748</v>
      </c>
      <c r="D134">
        <v>176</v>
      </c>
      <c r="E134">
        <f>Engagment_Summary[[#This Row],[New_Followers]]-Engagment_Summary[[#This Row],[Unfollows]]</f>
        <v>1572</v>
      </c>
      <c r="F134">
        <v>383681</v>
      </c>
      <c r="G134" s="35">
        <v>9.24</v>
      </c>
      <c r="H134">
        <v>43122</v>
      </c>
      <c r="I134" s="35">
        <v>0.40971536250166152</v>
      </c>
      <c r="J134" t="str" cm="1">
        <f t="array" ref="J134">IFERROR(INDEX('Campaign Data'!$A$2:$A$5,MATCH(1,(A134&gt;='Campaign Data'!$B$2:$B$5)*(A134&lt;='Campaign Data'!$C$2:$C$5),0)),"outside campaign")</f>
        <v>StyleRevolution</v>
      </c>
    </row>
    <row r="135" spans="1:10">
      <c r="A135" s="1">
        <v>45677</v>
      </c>
      <c r="B135" t="s">
        <v>34</v>
      </c>
      <c r="C135">
        <v>663</v>
      </c>
      <c r="D135">
        <v>236</v>
      </c>
      <c r="E135">
        <f>Engagment_Summary[[#This Row],[New_Followers]]-Engagment_Summary[[#This Row],[Unfollows]]</f>
        <v>427</v>
      </c>
      <c r="F135">
        <v>479490</v>
      </c>
      <c r="G135" s="35">
        <v>4.51</v>
      </c>
      <c r="H135">
        <v>23853</v>
      </c>
      <c r="I135" s="35">
        <v>8.905295209493419E-2</v>
      </c>
      <c r="J135" t="str" cm="1">
        <f t="array" ref="J135">IFERROR(INDEX('Campaign Data'!$A$2:$A$5,MATCH(1,(A135&gt;='Campaign Data'!$B$2:$B$5)*(A135&lt;='Campaign Data'!$C$2:$C$5),0)),"outside campaign")</f>
        <v>StyleRevolution</v>
      </c>
    </row>
    <row r="136" spans="1:10">
      <c r="A136" s="1">
        <v>45677</v>
      </c>
      <c r="B136" t="s">
        <v>14</v>
      </c>
      <c r="C136">
        <v>1040</v>
      </c>
      <c r="D136">
        <v>149</v>
      </c>
      <c r="E136">
        <f>Engagment_Summary[[#This Row],[New_Followers]]-Engagment_Summary[[#This Row],[Unfollows]]</f>
        <v>891</v>
      </c>
      <c r="F136">
        <v>124404</v>
      </c>
      <c r="G136" s="35">
        <v>5.23</v>
      </c>
      <c r="H136">
        <v>45380</v>
      </c>
      <c r="I136" s="35">
        <v>0.71621491270377158</v>
      </c>
      <c r="J136" t="str" cm="1">
        <f t="array" ref="J136">IFERROR(INDEX('Campaign Data'!$A$2:$A$5,MATCH(1,(A136&gt;='Campaign Data'!$B$2:$B$5)*(A136&lt;='Campaign Data'!$C$2:$C$5),0)),"outside campaign")</f>
        <v>StyleRevolution</v>
      </c>
    </row>
    <row r="137" spans="1:10">
      <c r="A137" s="1">
        <v>45677</v>
      </c>
      <c r="B137" t="s">
        <v>25</v>
      </c>
      <c r="C137">
        <v>1166</v>
      </c>
      <c r="D137">
        <v>442</v>
      </c>
      <c r="E137">
        <f>Engagment_Summary[[#This Row],[New_Followers]]-Engagment_Summary[[#This Row],[Unfollows]]</f>
        <v>724</v>
      </c>
      <c r="F137">
        <v>336949</v>
      </c>
      <c r="G137" s="35">
        <v>4.68</v>
      </c>
      <c r="H137">
        <v>7705</v>
      </c>
      <c r="I137" s="35">
        <v>0.2148693125665902</v>
      </c>
      <c r="J137" t="str" cm="1">
        <f t="array" ref="J137">IFERROR(INDEX('Campaign Data'!$A$2:$A$5,MATCH(1,(A137&gt;='Campaign Data'!$B$2:$B$5)*(A137&lt;='Campaign Data'!$C$2:$C$5),0)),"outside campaign")</f>
        <v>StyleRevolution</v>
      </c>
    </row>
    <row r="138" spans="1:10">
      <c r="A138" s="1">
        <v>45684</v>
      </c>
      <c r="B138" t="s">
        <v>27</v>
      </c>
      <c r="C138">
        <v>115</v>
      </c>
      <c r="D138">
        <v>281</v>
      </c>
      <c r="E138">
        <f>Engagment_Summary[[#This Row],[New_Followers]]-Engagment_Summary[[#This Row],[Unfollows]]</f>
        <v>-166</v>
      </c>
      <c r="F138">
        <v>357265</v>
      </c>
      <c r="G138" s="35">
        <v>9.23</v>
      </c>
      <c r="H138">
        <v>25525</v>
      </c>
      <c r="I138" s="35">
        <v>-4.6464109274628081E-2</v>
      </c>
      <c r="J138" t="str" cm="1">
        <f t="array" ref="J138">IFERROR(INDEX('Campaign Data'!$A$2:$A$5,MATCH(1,(A138&gt;='Campaign Data'!$B$2:$B$5)*(A138&lt;='Campaign Data'!$C$2:$C$5),0)),"outside campaign")</f>
        <v>StyleRevolution</v>
      </c>
    </row>
    <row r="139" spans="1:10">
      <c r="A139" s="1">
        <v>45684</v>
      </c>
      <c r="B139" t="s">
        <v>34</v>
      </c>
      <c r="C139">
        <v>1249</v>
      </c>
      <c r="D139">
        <v>351</v>
      </c>
      <c r="E139">
        <f>Engagment_Summary[[#This Row],[New_Followers]]-Engagment_Summary[[#This Row],[Unfollows]]</f>
        <v>898</v>
      </c>
      <c r="F139">
        <v>321307</v>
      </c>
      <c r="G139" s="35">
        <v>6.37</v>
      </c>
      <c r="H139">
        <v>20560</v>
      </c>
      <c r="I139" s="35">
        <v>0.27948348464241363</v>
      </c>
      <c r="J139" t="str" cm="1">
        <f t="array" ref="J139">IFERROR(INDEX('Campaign Data'!$A$2:$A$5,MATCH(1,(A139&gt;='Campaign Data'!$B$2:$B$5)*(A139&lt;='Campaign Data'!$C$2:$C$5),0)),"outside campaign")</f>
        <v>StyleRevolution</v>
      </c>
    </row>
    <row r="140" spans="1:10">
      <c r="A140" s="1">
        <v>45684</v>
      </c>
      <c r="B140" t="s">
        <v>14</v>
      </c>
      <c r="C140">
        <v>1501</v>
      </c>
      <c r="D140">
        <v>75</v>
      </c>
      <c r="E140">
        <f>Engagment_Summary[[#This Row],[New_Followers]]-Engagment_Summary[[#This Row],[Unfollows]]</f>
        <v>1426</v>
      </c>
      <c r="F140">
        <v>262569</v>
      </c>
      <c r="G140" s="35">
        <v>2.0099999999999998</v>
      </c>
      <c r="H140">
        <v>19119</v>
      </c>
      <c r="I140" s="35">
        <v>0.54309533874905258</v>
      </c>
      <c r="J140" t="str" cm="1">
        <f t="array" ref="J140">IFERROR(INDEX('Campaign Data'!$A$2:$A$5,MATCH(1,(A140&gt;='Campaign Data'!$B$2:$B$5)*(A140&lt;='Campaign Data'!$C$2:$C$5),0)),"outside campaign")</f>
        <v>StyleRevolution</v>
      </c>
    </row>
    <row r="141" spans="1:10">
      <c r="A141" s="1">
        <v>45684</v>
      </c>
      <c r="B141" t="s">
        <v>25</v>
      </c>
      <c r="C141">
        <v>1411</v>
      </c>
      <c r="D141">
        <v>186</v>
      </c>
      <c r="E141">
        <f>Engagment_Summary[[#This Row],[New_Followers]]-Engagment_Summary[[#This Row],[Unfollows]]</f>
        <v>1225</v>
      </c>
      <c r="F141">
        <v>461669</v>
      </c>
      <c r="G141" s="35">
        <v>3.72</v>
      </c>
      <c r="H141">
        <v>43999</v>
      </c>
      <c r="I141" s="35">
        <v>0.26534161921203286</v>
      </c>
      <c r="J141" t="str" cm="1">
        <f t="array" ref="J141">IFERROR(INDEX('Campaign Data'!$A$2:$A$5,MATCH(1,(A141&gt;='Campaign Data'!$B$2:$B$5)*(A141&lt;='Campaign Data'!$C$2:$C$5),0)),"outside campaign")</f>
        <v>StyleRevolution</v>
      </c>
    </row>
    <row r="142" spans="1:10">
      <c r="A142" s="1">
        <v>45691</v>
      </c>
      <c r="B142" t="s">
        <v>27</v>
      </c>
      <c r="C142">
        <v>1556</v>
      </c>
      <c r="D142">
        <v>476</v>
      </c>
      <c r="E142">
        <f>Engagment_Summary[[#This Row],[New_Followers]]-Engagment_Summary[[#This Row],[Unfollows]]</f>
        <v>1080</v>
      </c>
      <c r="F142">
        <v>351556</v>
      </c>
      <c r="G142" s="35">
        <v>3.89</v>
      </c>
      <c r="H142">
        <v>10825</v>
      </c>
      <c r="I142" s="35">
        <v>0.30720567989168157</v>
      </c>
      <c r="J142" t="str" cm="1">
        <f t="array" ref="J142">IFERROR(INDEX('Campaign Data'!$A$2:$A$5,MATCH(1,(A142&gt;='Campaign Data'!$B$2:$B$5)*(A142&lt;='Campaign Data'!$C$2:$C$5),0)),"outside campaign")</f>
        <v>StyleRevolution</v>
      </c>
    </row>
    <row r="143" spans="1:10">
      <c r="A143" s="1">
        <v>45691</v>
      </c>
      <c r="B143" t="s">
        <v>34</v>
      </c>
      <c r="C143">
        <v>1159</v>
      </c>
      <c r="D143">
        <v>411</v>
      </c>
      <c r="E143">
        <f>Engagment_Summary[[#This Row],[New_Followers]]-Engagment_Summary[[#This Row],[Unfollows]]</f>
        <v>748</v>
      </c>
      <c r="F143">
        <v>135987</v>
      </c>
      <c r="G143" s="35">
        <v>8.6999999999999993</v>
      </c>
      <c r="H143">
        <v>40323</v>
      </c>
      <c r="I143" s="35">
        <v>0.5500525785553031</v>
      </c>
      <c r="J143" t="str" cm="1">
        <f t="array" ref="J143">IFERROR(INDEX('Campaign Data'!$A$2:$A$5,MATCH(1,(A143&gt;='Campaign Data'!$B$2:$B$5)*(A143&lt;='Campaign Data'!$C$2:$C$5),0)),"outside campaign")</f>
        <v>StyleRevolution</v>
      </c>
    </row>
    <row r="144" spans="1:10">
      <c r="A144" s="1">
        <v>45691</v>
      </c>
      <c r="B144" t="s">
        <v>14</v>
      </c>
      <c r="C144">
        <v>927</v>
      </c>
      <c r="D144">
        <v>358</v>
      </c>
      <c r="E144">
        <f>Engagment_Summary[[#This Row],[New_Followers]]-Engagment_Summary[[#This Row],[Unfollows]]</f>
        <v>569</v>
      </c>
      <c r="F144">
        <v>177554</v>
      </c>
      <c r="G144" s="35">
        <v>6.95</v>
      </c>
      <c r="H144">
        <v>48270</v>
      </c>
      <c r="I144" s="35">
        <v>0.32046588643454949</v>
      </c>
      <c r="J144" t="str" cm="1">
        <f t="array" ref="J144">IFERROR(INDEX('Campaign Data'!$A$2:$A$5,MATCH(1,(A144&gt;='Campaign Data'!$B$2:$B$5)*(A144&lt;='Campaign Data'!$C$2:$C$5),0)),"outside campaign")</f>
        <v>StyleRevolution</v>
      </c>
    </row>
    <row r="145" spans="1:10">
      <c r="A145" s="1">
        <v>45691</v>
      </c>
      <c r="B145" t="s">
        <v>25</v>
      </c>
      <c r="C145">
        <v>152</v>
      </c>
      <c r="D145">
        <v>355</v>
      </c>
      <c r="E145">
        <f>Engagment_Summary[[#This Row],[New_Followers]]-Engagment_Summary[[#This Row],[Unfollows]]</f>
        <v>-203</v>
      </c>
      <c r="F145">
        <v>270766</v>
      </c>
      <c r="G145" s="35">
        <v>9.48</v>
      </c>
      <c r="H145">
        <v>18001</v>
      </c>
      <c r="I145" s="35">
        <v>-7.4972485467156139E-2</v>
      </c>
      <c r="J145" t="str" cm="1">
        <f t="array" ref="J145">IFERROR(INDEX('Campaign Data'!$A$2:$A$5,MATCH(1,(A145&gt;='Campaign Data'!$B$2:$B$5)*(A145&lt;='Campaign Data'!$C$2:$C$5),0)),"outside campaign")</f>
        <v>StyleRevolution</v>
      </c>
    </row>
    <row r="146" spans="1:10">
      <c r="A146" s="1">
        <v>45698</v>
      </c>
      <c r="B146" t="s">
        <v>27</v>
      </c>
      <c r="C146">
        <v>1957</v>
      </c>
      <c r="D146">
        <v>234</v>
      </c>
      <c r="E146">
        <f>Engagment_Summary[[#This Row],[New_Followers]]-Engagment_Summary[[#This Row],[Unfollows]]</f>
        <v>1723</v>
      </c>
      <c r="F146">
        <v>222126</v>
      </c>
      <c r="G146" s="35">
        <v>4.6100000000000003</v>
      </c>
      <c r="H146">
        <v>3314</v>
      </c>
      <c r="I146" s="35">
        <v>0.77568587198256844</v>
      </c>
      <c r="J146" t="str" cm="1">
        <f t="array" ref="J146">IFERROR(INDEX('Campaign Data'!$A$2:$A$5,MATCH(1,(A146&gt;='Campaign Data'!$B$2:$B$5)*(A146&lt;='Campaign Data'!$C$2:$C$5),0)),"outside campaign")</f>
        <v>StyleRevolution</v>
      </c>
    </row>
    <row r="147" spans="1:10">
      <c r="A147" s="1">
        <v>45698</v>
      </c>
      <c r="B147" t="s">
        <v>34</v>
      </c>
      <c r="C147">
        <v>1294</v>
      </c>
      <c r="D147">
        <v>382</v>
      </c>
      <c r="E147">
        <f>Engagment_Summary[[#This Row],[New_Followers]]-Engagment_Summary[[#This Row],[Unfollows]]</f>
        <v>912</v>
      </c>
      <c r="F147">
        <v>309914</v>
      </c>
      <c r="G147" s="35">
        <v>8.0299999999999994</v>
      </c>
      <c r="H147">
        <v>23489</v>
      </c>
      <c r="I147" s="35">
        <v>0.29427518601934727</v>
      </c>
      <c r="J147" t="str" cm="1">
        <f t="array" ref="J147">IFERROR(INDEX('Campaign Data'!$A$2:$A$5,MATCH(1,(A147&gt;='Campaign Data'!$B$2:$B$5)*(A147&lt;='Campaign Data'!$C$2:$C$5),0)),"outside campaign")</f>
        <v>StyleRevolution</v>
      </c>
    </row>
    <row r="148" spans="1:10">
      <c r="A148" s="1">
        <v>45698</v>
      </c>
      <c r="B148" t="s">
        <v>14</v>
      </c>
      <c r="C148">
        <v>1587</v>
      </c>
      <c r="D148">
        <v>385</v>
      </c>
      <c r="E148">
        <f>Engagment_Summary[[#This Row],[New_Followers]]-Engagment_Summary[[#This Row],[Unfollows]]</f>
        <v>1202</v>
      </c>
      <c r="F148">
        <v>126582</v>
      </c>
      <c r="G148" s="35">
        <v>6.99</v>
      </c>
      <c r="H148">
        <v>42832</v>
      </c>
      <c r="I148" s="35">
        <v>0.94958208908059605</v>
      </c>
      <c r="J148" t="str" cm="1">
        <f t="array" ref="J148">IFERROR(INDEX('Campaign Data'!$A$2:$A$5,MATCH(1,(A148&gt;='Campaign Data'!$B$2:$B$5)*(A148&lt;='Campaign Data'!$C$2:$C$5),0)),"outside campaign")</f>
        <v>StyleRevolution</v>
      </c>
    </row>
    <row r="149" spans="1:10">
      <c r="A149" s="1">
        <v>45698</v>
      </c>
      <c r="B149" t="s">
        <v>25</v>
      </c>
      <c r="C149">
        <v>1707</v>
      </c>
      <c r="D149">
        <v>263</v>
      </c>
      <c r="E149">
        <f>Engagment_Summary[[#This Row],[New_Followers]]-Engagment_Summary[[#This Row],[Unfollows]]</f>
        <v>1444</v>
      </c>
      <c r="F149">
        <v>485280</v>
      </c>
      <c r="G149" s="35">
        <v>9.0299999999999994</v>
      </c>
      <c r="H149">
        <v>24494</v>
      </c>
      <c r="I149" s="35">
        <v>0.29756017144741181</v>
      </c>
      <c r="J149" t="str" cm="1">
        <f t="array" ref="J149">IFERROR(INDEX('Campaign Data'!$A$2:$A$5,MATCH(1,(A149&gt;='Campaign Data'!$B$2:$B$5)*(A149&lt;='Campaign Data'!$C$2:$C$5),0)),"outside campaign")</f>
        <v>StyleRevolution</v>
      </c>
    </row>
    <row r="150" spans="1:10">
      <c r="A150" s="1">
        <v>45705</v>
      </c>
      <c r="B150" t="s">
        <v>27</v>
      </c>
      <c r="C150">
        <v>1138</v>
      </c>
      <c r="D150">
        <v>173</v>
      </c>
      <c r="E150">
        <f>Engagment_Summary[[#This Row],[New_Followers]]-Engagment_Summary[[#This Row],[Unfollows]]</f>
        <v>965</v>
      </c>
      <c r="F150">
        <v>453243</v>
      </c>
      <c r="G150" s="35">
        <v>2.86</v>
      </c>
      <c r="H150">
        <v>44097</v>
      </c>
      <c r="I150" s="35">
        <v>0.21291007252180397</v>
      </c>
      <c r="J150" t="str" cm="1">
        <f t="array" ref="J150">IFERROR(INDEX('Campaign Data'!$A$2:$A$5,MATCH(1,(A150&gt;='Campaign Data'!$B$2:$B$5)*(A150&lt;='Campaign Data'!$C$2:$C$5),0)),"outside campaign")</f>
        <v>outside campaign</v>
      </c>
    </row>
    <row r="151" spans="1:10">
      <c r="A151" s="1">
        <v>45705</v>
      </c>
      <c r="B151" t="s">
        <v>34</v>
      </c>
      <c r="C151">
        <v>1895</v>
      </c>
      <c r="D151">
        <v>305</v>
      </c>
      <c r="E151">
        <f>Engagment_Summary[[#This Row],[New_Followers]]-Engagment_Summary[[#This Row],[Unfollows]]</f>
        <v>1590</v>
      </c>
      <c r="F151">
        <v>104967</v>
      </c>
      <c r="G151" s="35">
        <v>3.85</v>
      </c>
      <c r="H151">
        <v>31853</v>
      </c>
      <c r="I151" s="35">
        <v>1.5147617822744293</v>
      </c>
      <c r="J151" t="str" cm="1">
        <f t="array" ref="J151">IFERROR(INDEX('Campaign Data'!$A$2:$A$5,MATCH(1,(A151&gt;='Campaign Data'!$B$2:$B$5)*(A151&lt;='Campaign Data'!$C$2:$C$5),0)),"outside campaign")</f>
        <v>outside campaign</v>
      </c>
    </row>
    <row r="152" spans="1:10">
      <c r="A152" s="1">
        <v>45705</v>
      </c>
      <c r="B152" t="s">
        <v>14</v>
      </c>
      <c r="C152">
        <v>362</v>
      </c>
      <c r="D152">
        <v>399</v>
      </c>
      <c r="E152">
        <f>Engagment_Summary[[#This Row],[New_Followers]]-Engagment_Summary[[#This Row],[Unfollows]]</f>
        <v>-37</v>
      </c>
      <c r="F152">
        <v>145608</v>
      </c>
      <c r="G152" s="35">
        <v>7.3</v>
      </c>
      <c r="H152">
        <v>37636</v>
      </c>
      <c r="I152" s="35">
        <v>-2.5410691720235155E-2</v>
      </c>
      <c r="J152" t="str" cm="1">
        <f t="array" ref="J152">IFERROR(INDEX('Campaign Data'!$A$2:$A$5,MATCH(1,(A152&gt;='Campaign Data'!$B$2:$B$5)*(A152&lt;='Campaign Data'!$C$2:$C$5),0)),"outside campaign")</f>
        <v>outside campaign</v>
      </c>
    </row>
    <row r="153" spans="1:10">
      <c r="A153" s="1">
        <v>45705</v>
      </c>
      <c r="B153" t="s">
        <v>25</v>
      </c>
      <c r="C153">
        <v>1662</v>
      </c>
      <c r="D153">
        <v>487</v>
      </c>
      <c r="E153">
        <f>Engagment_Summary[[#This Row],[New_Followers]]-Engagment_Summary[[#This Row],[Unfollows]]</f>
        <v>1175</v>
      </c>
      <c r="F153">
        <v>105980</v>
      </c>
      <c r="G153" s="35">
        <v>9.08</v>
      </c>
      <c r="H153">
        <v>22996</v>
      </c>
      <c r="I153" s="35">
        <v>1.1086997546706925</v>
      </c>
      <c r="J153" t="str" cm="1">
        <f t="array" ref="J153">IFERROR(INDEX('Campaign Data'!$A$2:$A$5,MATCH(1,(A153&gt;='Campaign Data'!$B$2:$B$5)*(A153&lt;='Campaign Data'!$C$2:$C$5),0)),"outside campaign")</f>
        <v>outside campaign</v>
      </c>
    </row>
    <row r="154" spans="1:10">
      <c r="A154" s="1">
        <v>45712</v>
      </c>
      <c r="B154" t="s">
        <v>27</v>
      </c>
      <c r="C154">
        <v>1440</v>
      </c>
      <c r="D154">
        <v>65</v>
      </c>
      <c r="E154">
        <f>Engagment_Summary[[#This Row],[New_Followers]]-Engagment_Summary[[#This Row],[Unfollows]]</f>
        <v>1375</v>
      </c>
      <c r="F154">
        <v>126524</v>
      </c>
      <c r="G154" s="35">
        <v>4.34</v>
      </c>
      <c r="H154">
        <v>49772</v>
      </c>
      <c r="I154" s="35">
        <v>1.08675033985647</v>
      </c>
      <c r="J154" t="str" cm="1">
        <f t="array" ref="J154">IFERROR(INDEX('Campaign Data'!$A$2:$A$5,MATCH(1,(A154&gt;='Campaign Data'!$B$2:$B$5)*(A154&lt;='Campaign Data'!$C$2:$C$5),0)),"outside campaign")</f>
        <v>outside campaign</v>
      </c>
    </row>
    <row r="155" spans="1:10">
      <c r="A155" s="1">
        <v>45712</v>
      </c>
      <c r="B155" t="s">
        <v>34</v>
      </c>
      <c r="C155">
        <v>1884</v>
      </c>
      <c r="D155">
        <v>177</v>
      </c>
      <c r="E155">
        <f>Engagment_Summary[[#This Row],[New_Followers]]-Engagment_Summary[[#This Row],[Unfollows]]</f>
        <v>1707</v>
      </c>
      <c r="F155">
        <v>230448</v>
      </c>
      <c r="G155" s="35">
        <v>7.8</v>
      </c>
      <c r="H155">
        <v>22713</v>
      </c>
      <c r="I155" s="35">
        <v>0.74073109768798173</v>
      </c>
      <c r="J155" t="str" cm="1">
        <f t="array" ref="J155">IFERROR(INDEX('Campaign Data'!$A$2:$A$5,MATCH(1,(A155&gt;='Campaign Data'!$B$2:$B$5)*(A155&lt;='Campaign Data'!$C$2:$C$5),0)),"outside campaign")</f>
        <v>outside campaign</v>
      </c>
    </row>
    <row r="156" spans="1:10">
      <c r="A156" s="1">
        <v>45712</v>
      </c>
      <c r="B156" t="s">
        <v>14</v>
      </c>
      <c r="C156">
        <v>861</v>
      </c>
      <c r="D156">
        <v>153</v>
      </c>
      <c r="E156">
        <f>Engagment_Summary[[#This Row],[New_Followers]]-Engagment_Summary[[#This Row],[Unfollows]]</f>
        <v>708</v>
      </c>
      <c r="F156">
        <v>317007</v>
      </c>
      <c r="G156" s="35">
        <v>3.85</v>
      </c>
      <c r="H156">
        <v>8718</v>
      </c>
      <c r="I156" s="35">
        <v>0.22333891680625351</v>
      </c>
      <c r="J156" t="str" cm="1">
        <f t="array" ref="J156">IFERROR(INDEX('Campaign Data'!$A$2:$A$5,MATCH(1,(A156&gt;='Campaign Data'!$B$2:$B$5)*(A156&lt;='Campaign Data'!$C$2:$C$5),0)),"outside campaign")</f>
        <v>outside campaign</v>
      </c>
    </row>
    <row r="157" spans="1:10">
      <c r="A157" s="1">
        <v>45712</v>
      </c>
      <c r="B157" t="s">
        <v>25</v>
      </c>
      <c r="C157">
        <v>1063</v>
      </c>
      <c r="D157">
        <v>47</v>
      </c>
      <c r="E157">
        <f>Engagment_Summary[[#This Row],[New_Followers]]-Engagment_Summary[[#This Row],[Unfollows]]</f>
        <v>1016</v>
      </c>
      <c r="F157">
        <v>464239</v>
      </c>
      <c r="G157" s="35">
        <v>6.58</v>
      </c>
      <c r="H157">
        <v>39031</v>
      </c>
      <c r="I157" s="35">
        <v>0.21885278918832757</v>
      </c>
      <c r="J157" t="str" cm="1">
        <f t="array" ref="J157">IFERROR(INDEX('Campaign Data'!$A$2:$A$5,MATCH(1,(A157&gt;='Campaign Data'!$B$2:$B$5)*(A157&lt;='Campaign Data'!$C$2:$C$5),0)),"outside campaign")</f>
        <v>outside campaign</v>
      </c>
    </row>
    <row r="158" spans="1:10">
      <c r="A158" s="1">
        <v>45719</v>
      </c>
      <c r="B158" t="s">
        <v>27</v>
      </c>
      <c r="C158">
        <v>1371</v>
      </c>
      <c r="D158">
        <v>56</v>
      </c>
      <c r="E158">
        <f>Engagment_Summary[[#This Row],[New_Followers]]-Engagment_Summary[[#This Row],[Unfollows]]</f>
        <v>1315</v>
      </c>
      <c r="F158">
        <v>257579</v>
      </c>
      <c r="G158" s="35">
        <v>8.6199999999999992</v>
      </c>
      <c r="H158">
        <v>33799</v>
      </c>
      <c r="I158" s="35">
        <v>0.51052298518124528</v>
      </c>
      <c r="J158" t="str" cm="1">
        <f t="array" ref="J158">IFERROR(INDEX('Campaign Data'!$A$2:$A$5,MATCH(1,(A158&gt;='Campaign Data'!$B$2:$B$5)*(A158&lt;='Campaign Data'!$C$2:$C$5),0)),"outside campaign")</f>
        <v>outside campaign</v>
      </c>
    </row>
    <row r="159" spans="1:10">
      <c r="A159" s="1">
        <v>45719</v>
      </c>
      <c r="B159" t="s">
        <v>34</v>
      </c>
      <c r="C159">
        <v>345</v>
      </c>
      <c r="D159">
        <v>464</v>
      </c>
      <c r="E159">
        <f>Engagment_Summary[[#This Row],[New_Followers]]-Engagment_Summary[[#This Row],[Unfollows]]</f>
        <v>-119</v>
      </c>
      <c r="F159">
        <v>366881</v>
      </c>
      <c r="G159" s="35">
        <v>4.55</v>
      </c>
      <c r="H159">
        <v>20553</v>
      </c>
      <c r="I159" s="35">
        <v>-3.2435585380545737E-2</v>
      </c>
      <c r="J159" t="str" cm="1">
        <f t="array" ref="J159">IFERROR(INDEX('Campaign Data'!$A$2:$A$5,MATCH(1,(A159&gt;='Campaign Data'!$B$2:$B$5)*(A159&lt;='Campaign Data'!$C$2:$C$5),0)),"outside campaign")</f>
        <v>outside campaign</v>
      </c>
    </row>
    <row r="160" spans="1:10">
      <c r="A160" s="1">
        <v>45719</v>
      </c>
      <c r="B160" t="s">
        <v>14</v>
      </c>
      <c r="C160">
        <v>946</v>
      </c>
      <c r="D160">
        <v>47</v>
      </c>
      <c r="E160">
        <f>Engagment_Summary[[#This Row],[New_Followers]]-Engagment_Summary[[#This Row],[Unfollows]]</f>
        <v>899</v>
      </c>
      <c r="F160">
        <v>466575</v>
      </c>
      <c r="G160" s="35">
        <v>8.33</v>
      </c>
      <c r="H160">
        <v>10002</v>
      </c>
      <c r="I160" s="35">
        <v>0.19268070513850935</v>
      </c>
      <c r="J160" t="str" cm="1">
        <f t="array" ref="J160">IFERROR(INDEX('Campaign Data'!$A$2:$A$5,MATCH(1,(A160&gt;='Campaign Data'!$B$2:$B$5)*(A160&lt;='Campaign Data'!$C$2:$C$5),0)),"outside campaign")</f>
        <v>outside campaign</v>
      </c>
    </row>
    <row r="161" spans="1:10">
      <c r="A161" s="1">
        <v>45719</v>
      </c>
      <c r="B161" t="s">
        <v>25</v>
      </c>
      <c r="C161">
        <v>510</v>
      </c>
      <c r="D161">
        <v>195</v>
      </c>
      <c r="E161">
        <f>Engagment_Summary[[#This Row],[New_Followers]]-Engagment_Summary[[#This Row],[Unfollows]]</f>
        <v>315</v>
      </c>
      <c r="F161">
        <v>224534</v>
      </c>
      <c r="G161" s="35">
        <v>9.4</v>
      </c>
      <c r="H161">
        <v>30987</v>
      </c>
      <c r="I161" s="35">
        <v>0.14029055733207443</v>
      </c>
      <c r="J161" t="str" cm="1">
        <f t="array" ref="J161">IFERROR(INDEX('Campaign Data'!$A$2:$A$5,MATCH(1,(A161&gt;='Campaign Data'!$B$2:$B$5)*(A161&lt;='Campaign Data'!$C$2:$C$5),0)),"outside campaign")</f>
        <v>outside campaign</v>
      </c>
    </row>
    <row r="162" spans="1:10">
      <c r="A162" s="1">
        <v>45726</v>
      </c>
      <c r="B162" t="s">
        <v>27</v>
      </c>
      <c r="C162">
        <v>393</v>
      </c>
      <c r="D162">
        <v>181</v>
      </c>
      <c r="E162">
        <f>Engagment_Summary[[#This Row],[New_Followers]]-Engagment_Summary[[#This Row],[Unfollows]]</f>
        <v>212</v>
      </c>
      <c r="F162">
        <v>462142</v>
      </c>
      <c r="G162" s="35">
        <v>7.23</v>
      </c>
      <c r="H162">
        <v>6296</v>
      </c>
      <c r="I162" s="35">
        <v>4.5873346287504703E-2</v>
      </c>
      <c r="J162" t="str" cm="1">
        <f t="array" ref="J162">IFERROR(INDEX('Campaign Data'!$A$2:$A$5,MATCH(1,(A162&gt;='Campaign Data'!$B$2:$B$5)*(A162&lt;='Campaign Data'!$C$2:$C$5),0)),"outside campaign")</f>
        <v>outside campaign</v>
      </c>
    </row>
    <row r="163" spans="1:10">
      <c r="A163" s="1">
        <v>45726</v>
      </c>
      <c r="B163" t="s">
        <v>34</v>
      </c>
      <c r="C163">
        <v>1098</v>
      </c>
      <c r="D163">
        <v>190</v>
      </c>
      <c r="E163">
        <f>Engagment_Summary[[#This Row],[New_Followers]]-Engagment_Summary[[#This Row],[Unfollows]]</f>
        <v>908</v>
      </c>
      <c r="F163">
        <v>340842</v>
      </c>
      <c r="G163" s="35">
        <v>9.39</v>
      </c>
      <c r="H163">
        <v>21539</v>
      </c>
      <c r="I163" s="35">
        <v>0.26639909400836753</v>
      </c>
      <c r="J163" t="str" cm="1">
        <f t="array" ref="J163">IFERROR(INDEX('Campaign Data'!$A$2:$A$5,MATCH(1,(A163&gt;='Campaign Data'!$B$2:$B$5)*(A163&lt;='Campaign Data'!$C$2:$C$5),0)),"outside campaign")</f>
        <v>outside campaign</v>
      </c>
    </row>
    <row r="164" spans="1:10">
      <c r="A164" s="1">
        <v>45726</v>
      </c>
      <c r="B164" t="s">
        <v>14</v>
      </c>
      <c r="C164">
        <v>1399</v>
      </c>
      <c r="D164">
        <v>49</v>
      </c>
      <c r="E164">
        <f>Engagment_Summary[[#This Row],[New_Followers]]-Engagment_Summary[[#This Row],[Unfollows]]</f>
        <v>1350</v>
      </c>
      <c r="F164">
        <v>12471</v>
      </c>
      <c r="G164" s="35">
        <v>5.12</v>
      </c>
      <c r="H164">
        <v>14722</v>
      </c>
      <c r="I164" s="35">
        <v>10.825114265095021</v>
      </c>
      <c r="J164" t="str" cm="1">
        <f t="array" ref="J164">IFERROR(INDEX('Campaign Data'!$A$2:$A$5,MATCH(1,(A164&gt;='Campaign Data'!$B$2:$B$5)*(A164&lt;='Campaign Data'!$C$2:$C$5),0)),"outside campaign")</f>
        <v>outside campaign</v>
      </c>
    </row>
    <row r="165" spans="1:10">
      <c r="A165" s="1">
        <v>45726</v>
      </c>
      <c r="B165" t="s">
        <v>25</v>
      </c>
      <c r="C165">
        <v>1658</v>
      </c>
      <c r="D165">
        <v>416</v>
      </c>
      <c r="E165">
        <f>Engagment_Summary[[#This Row],[New_Followers]]-Engagment_Summary[[#This Row],[Unfollows]]</f>
        <v>1242</v>
      </c>
      <c r="F165">
        <v>98397</v>
      </c>
      <c r="G165" s="35">
        <v>6.11</v>
      </c>
      <c r="H165">
        <v>11383</v>
      </c>
      <c r="I165" s="35">
        <v>1.2622336046830696</v>
      </c>
      <c r="J165" t="str" cm="1">
        <f t="array" ref="J165">IFERROR(INDEX('Campaign Data'!$A$2:$A$5,MATCH(1,(A165&gt;='Campaign Data'!$B$2:$B$5)*(A165&lt;='Campaign Data'!$C$2:$C$5),0)),"outside campaign")</f>
        <v>outside campaign</v>
      </c>
    </row>
    <row r="166" spans="1:10">
      <c r="A166" s="1">
        <v>45733</v>
      </c>
      <c r="B166" t="s">
        <v>27</v>
      </c>
      <c r="C166">
        <v>1102</v>
      </c>
      <c r="D166">
        <v>422</v>
      </c>
      <c r="E166">
        <f>Engagment_Summary[[#This Row],[New_Followers]]-Engagment_Summary[[#This Row],[Unfollows]]</f>
        <v>680</v>
      </c>
      <c r="F166">
        <v>410330</v>
      </c>
      <c r="G166" s="35">
        <v>7.74</v>
      </c>
      <c r="H166">
        <v>9480</v>
      </c>
      <c r="I166" s="35">
        <v>0.16572027392586453</v>
      </c>
      <c r="J166" t="str" cm="1">
        <f t="array" ref="J166">IFERROR(INDEX('Campaign Data'!$A$2:$A$5,MATCH(1,(A166&gt;='Campaign Data'!$B$2:$B$5)*(A166&lt;='Campaign Data'!$C$2:$C$5),0)),"outside campaign")</f>
        <v>outside campaign</v>
      </c>
    </row>
    <row r="167" spans="1:10">
      <c r="A167" s="1">
        <v>45733</v>
      </c>
      <c r="B167" t="s">
        <v>34</v>
      </c>
      <c r="C167">
        <v>1358</v>
      </c>
      <c r="D167">
        <v>242</v>
      </c>
      <c r="E167">
        <f>Engagment_Summary[[#This Row],[New_Followers]]-Engagment_Summary[[#This Row],[Unfollows]]</f>
        <v>1116</v>
      </c>
      <c r="F167">
        <v>342129</v>
      </c>
      <c r="G167" s="35">
        <v>4.9400000000000004</v>
      </c>
      <c r="H167">
        <v>29116</v>
      </c>
      <c r="I167" s="35">
        <v>0.32619275185675578</v>
      </c>
      <c r="J167" t="str" cm="1">
        <f t="array" ref="J167">IFERROR(INDEX('Campaign Data'!$A$2:$A$5,MATCH(1,(A167&gt;='Campaign Data'!$B$2:$B$5)*(A167&lt;='Campaign Data'!$C$2:$C$5),0)),"outside campaign")</f>
        <v>outside campaign</v>
      </c>
    </row>
    <row r="168" spans="1:10">
      <c r="A168" s="1">
        <v>45733</v>
      </c>
      <c r="B168" t="s">
        <v>14</v>
      </c>
      <c r="C168">
        <v>1077</v>
      </c>
      <c r="D168">
        <v>216</v>
      </c>
      <c r="E168">
        <f>Engagment_Summary[[#This Row],[New_Followers]]-Engagment_Summary[[#This Row],[Unfollows]]</f>
        <v>861</v>
      </c>
      <c r="F168">
        <v>12447</v>
      </c>
      <c r="G168" s="35">
        <v>1.8</v>
      </c>
      <c r="H168">
        <v>14068</v>
      </c>
      <c r="I168" s="35">
        <v>6.9173294769824052</v>
      </c>
      <c r="J168" t="str" cm="1">
        <f t="array" ref="J168">IFERROR(INDEX('Campaign Data'!$A$2:$A$5,MATCH(1,(A168&gt;='Campaign Data'!$B$2:$B$5)*(A168&lt;='Campaign Data'!$C$2:$C$5),0)),"outside campaign")</f>
        <v>outside campaign</v>
      </c>
    </row>
    <row r="169" spans="1:10">
      <c r="A169" s="1">
        <v>45733</v>
      </c>
      <c r="B169" t="s">
        <v>25</v>
      </c>
      <c r="C169">
        <v>1596</v>
      </c>
      <c r="D169">
        <v>211</v>
      </c>
      <c r="E169">
        <f>Engagment_Summary[[#This Row],[New_Followers]]-Engagment_Summary[[#This Row],[Unfollows]]</f>
        <v>1385</v>
      </c>
      <c r="F169">
        <v>17380</v>
      </c>
      <c r="G169" s="35">
        <v>8.64</v>
      </c>
      <c r="H169">
        <v>35801</v>
      </c>
      <c r="I169" s="35">
        <v>7.9689298043728432</v>
      </c>
      <c r="J169" t="str" cm="1">
        <f t="array" ref="J169">IFERROR(INDEX('Campaign Data'!$A$2:$A$5,MATCH(1,(A169&gt;='Campaign Data'!$B$2:$B$5)*(A169&lt;='Campaign Data'!$C$2:$C$5),0)),"outside campaign")</f>
        <v>outside campaign</v>
      </c>
    </row>
    <row r="170" spans="1:10">
      <c r="A170" s="1">
        <v>45740</v>
      </c>
      <c r="B170" t="s">
        <v>27</v>
      </c>
      <c r="C170">
        <v>490</v>
      </c>
      <c r="D170">
        <v>29</v>
      </c>
      <c r="E170">
        <f>Engagment_Summary[[#This Row],[New_Followers]]-Engagment_Summary[[#This Row],[Unfollows]]</f>
        <v>461</v>
      </c>
      <c r="F170">
        <v>364810</v>
      </c>
      <c r="G170" s="35">
        <v>1.53</v>
      </c>
      <c r="H170">
        <v>49077</v>
      </c>
      <c r="I170" s="35">
        <v>0.12636715002329982</v>
      </c>
      <c r="J170" t="str" cm="1">
        <f t="array" ref="J170">IFERROR(INDEX('Campaign Data'!$A$2:$A$5,MATCH(1,(A170&gt;='Campaign Data'!$B$2:$B$5)*(A170&lt;='Campaign Data'!$C$2:$C$5),0)),"outside campaign")</f>
        <v>outside campaign</v>
      </c>
    </row>
    <row r="171" spans="1:10">
      <c r="A171" s="1">
        <v>45740</v>
      </c>
      <c r="B171" t="s">
        <v>34</v>
      </c>
      <c r="C171">
        <v>609</v>
      </c>
      <c r="D171">
        <v>135</v>
      </c>
      <c r="E171">
        <f>Engagment_Summary[[#This Row],[New_Followers]]-Engagment_Summary[[#This Row],[Unfollows]]</f>
        <v>474</v>
      </c>
      <c r="F171">
        <v>373606</v>
      </c>
      <c r="G171" s="35">
        <v>8.52</v>
      </c>
      <c r="H171">
        <v>21453</v>
      </c>
      <c r="I171" s="35">
        <v>0.1268716241173857</v>
      </c>
      <c r="J171" t="str" cm="1">
        <f t="array" ref="J171">IFERROR(INDEX('Campaign Data'!$A$2:$A$5,MATCH(1,(A171&gt;='Campaign Data'!$B$2:$B$5)*(A171&lt;='Campaign Data'!$C$2:$C$5),0)),"outside campaign")</f>
        <v>outside campaign</v>
      </c>
    </row>
    <row r="172" spans="1:10">
      <c r="A172" s="1">
        <v>45740</v>
      </c>
      <c r="B172" t="s">
        <v>14</v>
      </c>
      <c r="C172">
        <v>364</v>
      </c>
      <c r="D172">
        <v>72</v>
      </c>
      <c r="E172">
        <f>Engagment_Summary[[#This Row],[New_Followers]]-Engagment_Summary[[#This Row],[Unfollows]]</f>
        <v>292</v>
      </c>
      <c r="F172">
        <v>211090</v>
      </c>
      <c r="G172" s="35">
        <v>5.53</v>
      </c>
      <c r="H172">
        <v>21061</v>
      </c>
      <c r="I172" s="35">
        <v>0.13832962243592781</v>
      </c>
      <c r="J172" t="str" cm="1">
        <f t="array" ref="J172">IFERROR(INDEX('Campaign Data'!$A$2:$A$5,MATCH(1,(A172&gt;='Campaign Data'!$B$2:$B$5)*(A172&lt;='Campaign Data'!$C$2:$C$5),0)),"outside campaign")</f>
        <v>outside campaign</v>
      </c>
    </row>
    <row r="173" spans="1:10">
      <c r="A173" s="1">
        <v>45740</v>
      </c>
      <c r="B173" t="s">
        <v>25</v>
      </c>
      <c r="C173">
        <v>442</v>
      </c>
      <c r="D173">
        <v>53</v>
      </c>
      <c r="E173">
        <f>Engagment_Summary[[#This Row],[New_Followers]]-Engagment_Summary[[#This Row],[Unfollows]]</f>
        <v>389</v>
      </c>
      <c r="F173">
        <v>441931</v>
      </c>
      <c r="G173" s="35">
        <v>1.87</v>
      </c>
      <c r="H173">
        <v>20059</v>
      </c>
      <c r="I173" s="35">
        <v>8.8022790888170319E-2</v>
      </c>
      <c r="J173" t="str" cm="1">
        <f t="array" ref="J173">IFERROR(INDEX('Campaign Data'!$A$2:$A$5,MATCH(1,(A173&gt;='Campaign Data'!$B$2:$B$5)*(A173&lt;='Campaign Data'!$C$2:$C$5),0)),"outside campaign")</f>
        <v>outside campaign</v>
      </c>
    </row>
    <row r="174" spans="1:10">
      <c r="A174" s="1">
        <v>45747</v>
      </c>
      <c r="B174" t="s">
        <v>27</v>
      </c>
      <c r="C174">
        <v>1033</v>
      </c>
      <c r="D174">
        <v>392</v>
      </c>
      <c r="E174">
        <f>Engagment_Summary[[#This Row],[New_Followers]]-Engagment_Summary[[#This Row],[Unfollows]]</f>
        <v>641</v>
      </c>
      <c r="F174">
        <v>282780</v>
      </c>
      <c r="G174" s="35">
        <v>6.27</v>
      </c>
      <c r="H174">
        <v>23140</v>
      </c>
      <c r="I174" s="35">
        <v>0.22667798288422092</v>
      </c>
      <c r="J174" t="str" cm="1">
        <f t="array" ref="J174">IFERROR(INDEX('Campaign Data'!$A$2:$A$5,MATCH(1,(A174&gt;='Campaign Data'!$B$2:$B$5)*(A174&lt;='Campaign Data'!$C$2:$C$5),0)),"outside campaign")</f>
        <v>outside campaign</v>
      </c>
    </row>
    <row r="175" spans="1:10">
      <c r="A175" s="1">
        <v>45747</v>
      </c>
      <c r="B175" t="s">
        <v>34</v>
      </c>
      <c r="C175">
        <v>988</v>
      </c>
      <c r="D175">
        <v>474</v>
      </c>
      <c r="E175">
        <f>Engagment_Summary[[#This Row],[New_Followers]]-Engagment_Summary[[#This Row],[Unfollows]]</f>
        <v>514</v>
      </c>
      <c r="F175">
        <v>370070</v>
      </c>
      <c r="G175" s="35">
        <v>9.4600000000000009</v>
      </c>
      <c r="H175">
        <v>23461</v>
      </c>
      <c r="I175" s="35">
        <v>0.13889264193260734</v>
      </c>
      <c r="J175" t="str" cm="1">
        <f t="array" ref="J175">IFERROR(INDEX('Campaign Data'!$A$2:$A$5,MATCH(1,(A175&gt;='Campaign Data'!$B$2:$B$5)*(A175&lt;='Campaign Data'!$C$2:$C$5),0)),"outside campaign")</f>
        <v>outside campaign</v>
      </c>
    </row>
    <row r="176" spans="1:10">
      <c r="A176" s="1">
        <v>45747</v>
      </c>
      <c r="B176" t="s">
        <v>14</v>
      </c>
      <c r="C176">
        <v>1946</v>
      </c>
      <c r="D176">
        <v>270</v>
      </c>
      <c r="E176">
        <f>Engagment_Summary[[#This Row],[New_Followers]]-Engagment_Summary[[#This Row],[Unfollows]]</f>
        <v>1676</v>
      </c>
      <c r="F176">
        <v>198350</v>
      </c>
      <c r="G176" s="35">
        <v>7.5</v>
      </c>
      <c r="H176">
        <v>11805</v>
      </c>
      <c r="I176" s="35">
        <v>0.84497101083942527</v>
      </c>
      <c r="J176" t="str" cm="1">
        <f t="array" ref="J176">IFERROR(INDEX('Campaign Data'!$A$2:$A$5,MATCH(1,(A176&gt;='Campaign Data'!$B$2:$B$5)*(A176&lt;='Campaign Data'!$C$2:$C$5),0)),"outside campaign")</f>
        <v>outside campaign</v>
      </c>
    </row>
    <row r="177" spans="1:10">
      <c r="A177" s="1">
        <v>45747</v>
      </c>
      <c r="B177" t="s">
        <v>25</v>
      </c>
      <c r="C177">
        <v>1957</v>
      </c>
      <c r="D177">
        <v>490</v>
      </c>
      <c r="E177">
        <f>Engagment_Summary[[#This Row],[New_Followers]]-Engagment_Summary[[#This Row],[Unfollows]]</f>
        <v>1467</v>
      </c>
      <c r="F177">
        <v>435726</v>
      </c>
      <c r="G177" s="35">
        <v>4.7300000000000004</v>
      </c>
      <c r="H177">
        <v>15969</v>
      </c>
      <c r="I177" s="35">
        <v>0.33667947287974553</v>
      </c>
      <c r="J177" t="str" cm="1">
        <f t="array" ref="J177">IFERROR(INDEX('Campaign Data'!$A$2:$A$5,MATCH(1,(A177&gt;='Campaign Data'!$B$2:$B$5)*(A177&lt;='Campaign Data'!$C$2:$C$5),0)),"outside campaign")</f>
        <v>outside campaign</v>
      </c>
    </row>
    <row r="178" spans="1:10">
      <c r="A178" s="1">
        <v>45754</v>
      </c>
      <c r="B178" t="s">
        <v>27</v>
      </c>
      <c r="C178">
        <v>559</v>
      </c>
      <c r="D178">
        <v>392</v>
      </c>
      <c r="E178">
        <f>Engagment_Summary[[#This Row],[New_Followers]]-Engagment_Summary[[#This Row],[Unfollows]]</f>
        <v>167</v>
      </c>
      <c r="F178">
        <v>78789</v>
      </c>
      <c r="G178" s="35">
        <v>3.19</v>
      </c>
      <c r="H178">
        <v>2436</v>
      </c>
      <c r="I178" s="35">
        <v>0.21195852212872357</v>
      </c>
      <c r="J178" t="str" cm="1">
        <f t="array" ref="J178">IFERROR(INDEX('Campaign Data'!$A$2:$A$5,MATCH(1,(A178&gt;='Campaign Data'!$B$2:$B$5)*(A178&lt;='Campaign Data'!$C$2:$C$5),0)),"outside campaign")</f>
        <v>outside campaign</v>
      </c>
    </row>
    <row r="179" spans="1:10">
      <c r="A179" s="1">
        <v>45754</v>
      </c>
      <c r="B179" t="s">
        <v>34</v>
      </c>
      <c r="C179">
        <v>1307</v>
      </c>
      <c r="D179">
        <v>278</v>
      </c>
      <c r="E179">
        <f>Engagment_Summary[[#This Row],[New_Followers]]-Engagment_Summary[[#This Row],[Unfollows]]</f>
        <v>1029</v>
      </c>
      <c r="F179">
        <v>98596</v>
      </c>
      <c r="G179" s="35">
        <v>2.4900000000000002</v>
      </c>
      <c r="H179">
        <v>47603</v>
      </c>
      <c r="I179" s="35">
        <v>1.0436528865268369</v>
      </c>
      <c r="J179" t="str" cm="1">
        <f t="array" ref="J179">IFERROR(INDEX('Campaign Data'!$A$2:$A$5,MATCH(1,(A179&gt;='Campaign Data'!$B$2:$B$5)*(A179&lt;='Campaign Data'!$C$2:$C$5),0)),"outside campaign")</f>
        <v>outside campaign</v>
      </c>
    </row>
    <row r="180" spans="1:10">
      <c r="A180" s="1">
        <v>45754</v>
      </c>
      <c r="B180" t="s">
        <v>14</v>
      </c>
      <c r="C180">
        <v>1432</v>
      </c>
      <c r="D180">
        <v>425</v>
      </c>
      <c r="E180">
        <f>Engagment_Summary[[#This Row],[New_Followers]]-Engagment_Summary[[#This Row],[Unfollows]]</f>
        <v>1007</v>
      </c>
      <c r="F180">
        <v>29589</v>
      </c>
      <c r="G180" s="35">
        <v>4.5</v>
      </c>
      <c r="H180">
        <v>42964</v>
      </c>
      <c r="I180" s="35">
        <v>3.4032917638311533</v>
      </c>
      <c r="J180" t="str" cm="1">
        <f t="array" ref="J180">IFERROR(INDEX('Campaign Data'!$A$2:$A$5,MATCH(1,(A180&gt;='Campaign Data'!$B$2:$B$5)*(A180&lt;='Campaign Data'!$C$2:$C$5),0)),"outside campaign")</f>
        <v>outside campaign</v>
      </c>
    </row>
    <row r="181" spans="1:10">
      <c r="A181" s="1">
        <v>45754</v>
      </c>
      <c r="B181" t="s">
        <v>25</v>
      </c>
      <c r="C181">
        <v>623</v>
      </c>
      <c r="D181">
        <v>414</v>
      </c>
      <c r="E181">
        <f>Engagment_Summary[[#This Row],[New_Followers]]-Engagment_Summary[[#This Row],[Unfollows]]</f>
        <v>209</v>
      </c>
      <c r="F181">
        <v>290354</v>
      </c>
      <c r="G181" s="35">
        <v>6.49</v>
      </c>
      <c r="H181">
        <v>39923</v>
      </c>
      <c r="I181" s="35">
        <v>7.1981098934404214E-2</v>
      </c>
      <c r="J181" t="str" cm="1">
        <f t="array" ref="J181">IFERROR(INDEX('Campaign Data'!$A$2:$A$5,MATCH(1,(A181&gt;='Campaign Data'!$B$2:$B$5)*(A181&lt;='Campaign Data'!$C$2:$C$5),0)),"outside campaign")</f>
        <v>outside campaign</v>
      </c>
    </row>
    <row r="182" spans="1:10">
      <c r="A182" s="1">
        <v>45761</v>
      </c>
      <c r="B182" t="s">
        <v>27</v>
      </c>
      <c r="C182">
        <v>198</v>
      </c>
      <c r="D182">
        <v>358</v>
      </c>
      <c r="E182">
        <f>Engagment_Summary[[#This Row],[New_Followers]]-Engagment_Summary[[#This Row],[Unfollows]]</f>
        <v>-160</v>
      </c>
      <c r="F182">
        <v>66682</v>
      </c>
      <c r="G182" s="35">
        <v>6.73</v>
      </c>
      <c r="H182">
        <v>2293</v>
      </c>
      <c r="I182" s="35">
        <v>-0.2399448126930806</v>
      </c>
      <c r="J182" t="str" cm="1">
        <f t="array" ref="J182">IFERROR(INDEX('Campaign Data'!$A$2:$A$5,MATCH(1,(A182&gt;='Campaign Data'!$B$2:$B$5)*(A182&lt;='Campaign Data'!$C$2:$C$5),0)),"outside campaign")</f>
        <v>outside campaign</v>
      </c>
    </row>
    <row r="183" spans="1:10">
      <c r="A183" s="1">
        <v>45761</v>
      </c>
      <c r="B183" t="s">
        <v>34</v>
      </c>
      <c r="C183">
        <v>198</v>
      </c>
      <c r="D183">
        <v>373</v>
      </c>
      <c r="E183">
        <f>Engagment_Summary[[#This Row],[New_Followers]]-Engagment_Summary[[#This Row],[Unfollows]]</f>
        <v>-175</v>
      </c>
      <c r="F183">
        <v>70707</v>
      </c>
      <c r="G183" s="35">
        <v>4.83</v>
      </c>
      <c r="H183">
        <v>25920</v>
      </c>
      <c r="I183" s="35">
        <v>-0.24750024750024749</v>
      </c>
      <c r="J183" t="str" cm="1">
        <f t="array" ref="J183">IFERROR(INDEX('Campaign Data'!$A$2:$A$5,MATCH(1,(A183&gt;='Campaign Data'!$B$2:$B$5)*(A183&lt;='Campaign Data'!$C$2:$C$5),0)),"outside campaign")</f>
        <v>outside campaign</v>
      </c>
    </row>
    <row r="184" spans="1:10">
      <c r="A184" s="1">
        <v>45761</v>
      </c>
      <c r="B184" t="s">
        <v>14</v>
      </c>
      <c r="C184">
        <v>353</v>
      </c>
      <c r="D184">
        <v>300</v>
      </c>
      <c r="E184">
        <f>Engagment_Summary[[#This Row],[New_Followers]]-Engagment_Summary[[#This Row],[Unfollows]]</f>
        <v>53</v>
      </c>
      <c r="F184">
        <v>142507</v>
      </c>
      <c r="G184" s="35">
        <v>5.3</v>
      </c>
      <c r="H184">
        <v>11035</v>
      </c>
      <c r="I184" s="35">
        <v>3.7191155522184875E-2</v>
      </c>
      <c r="J184" t="str" cm="1">
        <f t="array" ref="J184">IFERROR(INDEX('Campaign Data'!$A$2:$A$5,MATCH(1,(A184&gt;='Campaign Data'!$B$2:$B$5)*(A184&lt;='Campaign Data'!$C$2:$C$5),0)),"outside campaign")</f>
        <v>outside campaign</v>
      </c>
    </row>
    <row r="185" spans="1:10">
      <c r="A185" s="1">
        <v>45761</v>
      </c>
      <c r="B185" t="s">
        <v>25</v>
      </c>
      <c r="C185">
        <v>520</v>
      </c>
      <c r="D185">
        <v>375</v>
      </c>
      <c r="E185">
        <f>Engagment_Summary[[#This Row],[New_Followers]]-Engagment_Summary[[#This Row],[Unfollows]]</f>
        <v>145</v>
      </c>
      <c r="F185">
        <v>369525</v>
      </c>
      <c r="G185" s="35">
        <v>6.54</v>
      </c>
      <c r="H185">
        <v>20733</v>
      </c>
      <c r="I185" s="35">
        <v>3.9239564305527365E-2</v>
      </c>
      <c r="J185" t="str" cm="1">
        <f t="array" ref="J185">IFERROR(INDEX('Campaign Data'!$A$2:$A$5,MATCH(1,(A185&gt;='Campaign Data'!$B$2:$B$5)*(A185&lt;='Campaign Data'!$C$2:$C$5),0)),"outside campaign")</f>
        <v>outside campaign</v>
      </c>
    </row>
    <row r="186" spans="1:10">
      <c r="A186" s="1">
        <v>45768</v>
      </c>
      <c r="B186" t="s">
        <v>27</v>
      </c>
      <c r="C186">
        <v>961</v>
      </c>
      <c r="D186">
        <v>358</v>
      </c>
      <c r="E186">
        <f>Engagment_Summary[[#This Row],[New_Followers]]-Engagment_Summary[[#This Row],[Unfollows]]</f>
        <v>603</v>
      </c>
      <c r="F186">
        <v>62942</v>
      </c>
      <c r="G186" s="35">
        <v>6.8</v>
      </c>
      <c r="H186">
        <v>18693</v>
      </c>
      <c r="I186" s="35">
        <v>0.95802484827301337</v>
      </c>
      <c r="J186" t="str" cm="1">
        <f t="array" ref="J186">IFERROR(INDEX('Campaign Data'!$A$2:$A$5,MATCH(1,(A186&gt;='Campaign Data'!$B$2:$B$5)*(A186&lt;='Campaign Data'!$C$2:$C$5),0)),"outside campaign")</f>
        <v>outside campaign</v>
      </c>
    </row>
    <row r="187" spans="1:10">
      <c r="A187" s="1">
        <v>45768</v>
      </c>
      <c r="B187" t="s">
        <v>34</v>
      </c>
      <c r="C187">
        <v>1375</v>
      </c>
      <c r="D187">
        <v>330</v>
      </c>
      <c r="E187">
        <f>Engagment_Summary[[#This Row],[New_Followers]]-Engagment_Summary[[#This Row],[Unfollows]]</f>
        <v>1045</v>
      </c>
      <c r="F187">
        <v>377382</v>
      </c>
      <c r="G187" s="35">
        <v>2.6</v>
      </c>
      <c r="H187">
        <v>7875</v>
      </c>
      <c r="I187" s="35">
        <v>0.27690774864725926</v>
      </c>
      <c r="J187" t="str" cm="1">
        <f t="array" ref="J187">IFERROR(INDEX('Campaign Data'!$A$2:$A$5,MATCH(1,(A187&gt;='Campaign Data'!$B$2:$B$5)*(A187&lt;='Campaign Data'!$C$2:$C$5),0)),"outside campaign")</f>
        <v>outside campaign</v>
      </c>
    </row>
    <row r="188" spans="1:10">
      <c r="A188" s="1">
        <v>45768</v>
      </c>
      <c r="B188" t="s">
        <v>14</v>
      </c>
      <c r="C188">
        <v>1147</v>
      </c>
      <c r="D188">
        <v>388</v>
      </c>
      <c r="E188">
        <f>Engagment_Summary[[#This Row],[New_Followers]]-Engagment_Summary[[#This Row],[Unfollows]]</f>
        <v>759</v>
      </c>
      <c r="F188">
        <v>333851</v>
      </c>
      <c r="G188" s="35">
        <v>2.44</v>
      </c>
      <c r="H188">
        <v>8471</v>
      </c>
      <c r="I188" s="35">
        <v>0.22734693021737243</v>
      </c>
      <c r="J188" t="str" cm="1">
        <f t="array" ref="J188">IFERROR(INDEX('Campaign Data'!$A$2:$A$5,MATCH(1,(A188&gt;='Campaign Data'!$B$2:$B$5)*(A188&lt;='Campaign Data'!$C$2:$C$5),0)),"outside campaign")</f>
        <v>outside campaign</v>
      </c>
    </row>
    <row r="189" spans="1:10">
      <c r="A189" s="1">
        <v>45768</v>
      </c>
      <c r="B189" t="s">
        <v>25</v>
      </c>
      <c r="C189">
        <v>1707</v>
      </c>
      <c r="D189">
        <v>74</v>
      </c>
      <c r="E189">
        <f>Engagment_Summary[[#This Row],[New_Followers]]-Engagment_Summary[[#This Row],[Unfollows]]</f>
        <v>1633</v>
      </c>
      <c r="F189">
        <v>270958</v>
      </c>
      <c r="G189" s="35">
        <v>3.09</v>
      </c>
      <c r="H189">
        <v>14090</v>
      </c>
      <c r="I189" s="35">
        <v>0.60267642955734835</v>
      </c>
      <c r="J189" t="str" cm="1">
        <f t="array" ref="J189">IFERROR(INDEX('Campaign Data'!$A$2:$A$5,MATCH(1,(A189&gt;='Campaign Data'!$B$2:$B$5)*(A189&lt;='Campaign Data'!$C$2:$C$5),0)),"outside campaign")</f>
        <v>outside campaign</v>
      </c>
    </row>
    <row r="190" spans="1:10">
      <c r="A190" s="1">
        <v>45775</v>
      </c>
      <c r="B190" t="s">
        <v>27</v>
      </c>
      <c r="C190">
        <v>1693</v>
      </c>
      <c r="D190">
        <v>154</v>
      </c>
      <c r="E190">
        <f>Engagment_Summary[[#This Row],[New_Followers]]-Engagment_Summary[[#This Row],[Unfollows]]</f>
        <v>1539</v>
      </c>
      <c r="F190">
        <v>445944</v>
      </c>
      <c r="G190" s="35">
        <v>5.69</v>
      </c>
      <c r="H190">
        <v>14216</v>
      </c>
      <c r="I190" s="35">
        <v>0.34511059684624079</v>
      </c>
      <c r="J190" t="str" cm="1">
        <f t="array" ref="J190">IFERROR(INDEX('Campaign Data'!$A$2:$A$5,MATCH(1,(A190&gt;='Campaign Data'!$B$2:$B$5)*(A190&lt;='Campaign Data'!$C$2:$C$5),0)),"outside campaign")</f>
        <v>outside campaign</v>
      </c>
    </row>
    <row r="191" spans="1:10">
      <c r="A191" s="1">
        <v>45775</v>
      </c>
      <c r="B191" t="s">
        <v>34</v>
      </c>
      <c r="C191">
        <v>833</v>
      </c>
      <c r="D191">
        <v>380</v>
      </c>
      <c r="E191">
        <f>Engagment_Summary[[#This Row],[New_Followers]]-Engagment_Summary[[#This Row],[Unfollows]]</f>
        <v>453</v>
      </c>
      <c r="F191">
        <v>224830</v>
      </c>
      <c r="G191" s="35">
        <v>3.86</v>
      </c>
      <c r="H191">
        <v>3582</v>
      </c>
      <c r="I191" s="35">
        <v>0.2014855668727483</v>
      </c>
      <c r="J191" t="str" cm="1">
        <f t="array" ref="J191">IFERROR(INDEX('Campaign Data'!$A$2:$A$5,MATCH(1,(A191&gt;='Campaign Data'!$B$2:$B$5)*(A191&lt;='Campaign Data'!$C$2:$C$5),0)),"outside campaign")</f>
        <v>outside campaign</v>
      </c>
    </row>
    <row r="192" spans="1:10">
      <c r="A192" s="1">
        <v>45775</v>
      </c>
      <c r="B192" t="s">
        <v>14</v>
      </c>
      <c r="C192">
        <v>1222</v>
      </c>
      <c r="D192">
        <v>274</v>
      </c>
      <c r="E192">
        <f>Engagment_Summary[[#This Row],[New_Followers]]-Engagment_Summary[[#This Row],[Unfollows]]</f>
        <v>948</v>
      </c>
      <c r="F192">
        <v>487289</v>
      </c>
      <c r="G192" s="35">
        <v>3.16</v>
      </c>
      <c r="H192">
        <v>32500</v>
      </c>
      <c r="I192" s="35">
        <v>0.19454574184929271</v>
      </c>
      <c r="J192" t="str" cm="1">
        <f t="array" ref="J192">IFERROR(INDEX('Campaign Data'!$A$2:$A$5,MATCH(1,(A192&gt;='Campaign Data'!$B$2:$B$5)*(A192&lt;='Campaign Data'!$C$2:$C$5),0)),"outside campaign")</f>
        <v>outside campaign</v>
      </c>
    </row>
    <row r="193" spans="1:10">
      <c r="A193" s="1">
        <v>45775</v>
      </c>
      <c r="B193" t="s">
        <v>25</v>
      </c>
      <c r="C193">
        <v>777</v>
      </c>
      <c r="D193">
        <v>140</v>
      </c>
      <c r="E193">
        <f>Engagment_Summary[[#This Row],[New_Followers]]-Engagment_Summary[[#This Row],[Unfollows]]</f>
        <v>637</v>
      </c>
      <c r="F193">
        <v>11435</v>
      </c>
      <c r="G193" s="35">
        <v>1.6</v>
      </c>
      <c r="H193">
        <v>6832</v>
      </c>
      <c r="I193" s="35">
        <v>5.5706165282028861</v>
      </c>
      <c r="J193" t="str" cm="1">
        <f t="array" ref="J193">IFERROR(INDEX('Campaign Data'!$A$2:$A$5,MATCH(1,(A193&gt;='Campaign Data'!$B$2:$B$5)*(A193&lt;='Campaign Data'!$C$2:$C$5),0)),"outside campaign")</f>
        <v>outside campaign</v>
      </c>
    </row>
    <row r="194" spans="1:10">
      <c r="A194" s="1">
        <v>45782</v>
      </c>
      <c r="B194" t="s">
        <v>27</v>
      </c>
      <c r="C194">
        <v>1957</v>
      </c>
      <c r="D194">
        <v>76</v>
      </c>
      <c r="E194">
        <f>Engagment_Summary[[#This Row],[New_Followers]]-Engagment_Summary[[#This Row],[Unfollows]]</f>
        <v>1881</v>
      </c>
      <c r="F194">
        <v>447902</v>
      </c>
      <c r="G194" s="35">
        <v>6.09</v>
      </c>
      <c r="H194">
        <v>33381</v>
      </c>
      <c r="I194" s="35">
        <v>0.41995793722733987</v>
      </c>
      <c r="J194" t="str" cm="1">
        <f t="array" ref="J194">IFERROR(INDEX('Campaign Data'!$A$2:$A$5,MATCH(1,(A194&gt;='Campaign Data'!$B$2:$B$5)*(A194&lt;='Campaign Data'!$C$2:$C$5),0)),"outside campaign")</f>
        <v>outside campaign</v>
      </c>
    </row>
    <row r="195" spans="1:10">
      <c r="A195" s="1">
        <v>45782</v>
      </c>
      <c r="B195" t="s">
        <v>34</v>
      </c>
      <c r="C195">
        <v>405</v>
      </c>
      <c r="D195">
        <v>66</v>
      </c>
      <c r="E195">
        <f>Engagment_Summary[[#This Row],[New_Followers]]-Engagment_Summary[[#This Row],[Unfollows]]</f>
        <v>339</v>
      </c>
      <c r="F195">
        <v>418696</v>
      </c>
      <c r="G195" s="35">
        <v>5.59</v>
      </c>
      <c r="H195">
        <v>48419</v>
      </c>
      <c r="I195" s="35">
        <v>8.0965664826031306E-2</v>
      </c>
      <c r="J195" t="str" cm="1">
        <f t="array" ref="J195">IFERROR(INDEX('Campaign Data'!$A$2:$A$5,MATCH(1,(A195&gt;='Campaign Data'!$B$2:$B$5)*(A195&lt;='Campaign Data'!$C$2:$C$5),0)),"outside campaign")</f>
        <v>outside campaign</v>
      </c>
    </row>
    <row r="196" spans="1:10">
      <c r="A196" s="1">
        <v>45782</v>
      </c>
      <c r="B196" t="s">
        <v>14</v>
      </c>
      <c r="C196">
        <v>1581</v>
      </c>
      <c r="D196">
        <v>71</v>
      </c>
      <c r="E196">
        <f>Engagment_Summary[[#This Row],[New_Followers]]-Engagment_Summary[[#This Row],[Unfollows]]</f>
        <v>1510</v>
      </c>
      <c r="F196">
        <v>484364</v>
      </c>
      <c r="G196" s="35">
        <v>3.55</v>
      </c>
      <c r="H196">
        <v>16149</v>
      </c>
      <c r="I196" s="35">
        <v>0.311749015203442</v>
      </c>
      <c r="J196" t="str" cm="1">
        <f t="array" ref="J196">IFERROR(INDEX('Campaign Data'!$A$2:$A$5,MATCH(1,(A196&gt;='Campaign Data'!$B$2:$B$5)*(A196&lt;='Campaign Data'!$C$2:$C$5),0)),"outside campaign")</f>
        <v>outside campaign</v>
      </c>
    </row>
    <row r="197" spans="1:10">
      <c r="A197" s="1">
        <v>45782</v>
      </c>
      <c r="B197" t="s">
        <v>25</v>
      </c>
      <c r="C197">
        <v>1035</v>
      </c>
      <c r="D197">
        <v>171</v>
      </c>
      <c r="E197">
        <f>Engagment_Summary[[#This Row],[New_Followers]]-Engagment_Summary[[#This Row],[Unfollows]]</f>
        <v>864</v>
      </c>
      <c r="F197">
        <v>148477</v>
      </c>
      <c r="G197" s="35">
        <v>5.21</v>
      </c>
      <c r="H197">
        <v>7541</v>
      </c>
      <c r="I197" s="35">
        <v>0.58190830903102841</v>
      </c>
      <c r="J197" t="str" cm="1">
        <f t="array" ref="J197">IFERROR(INDEX('Campaign Data'!$A$2:$A$5,MATCH(1,(A197&gt;='Campaign Data'!$B$2:$B$5)*(A197&lt;='Campaign Data'!$C$2:$C$5),0)),"outside campaign")</f>
        <v>outside campaign</v>
      </c>
    </row>
    <row r="198" spans="1:10">
      <c r="A198" s="1">
        <v>45789</v>
      </c>
      <c r="B198" t="s">
        <v>27</v>
      </c>
      <c r="C198">
        <v>1765</v>
      </c>
      <c r="D198">
        <v>109</v>
      </c>
      <c r="E198">
        <f>Engagment_Summary[[#This Row],[New_Followers]]-Engagment_Summary[[#This Row],[Unfollows]]</f>
        <v>1656</v>
      </c>
      <c r="F198">
        <v>468301</v>
      </c>
      <c r="G198" s="35">
        <v>1.82</v>
      </c>
      <c r="H198">
        <v>20042</v>
      </c>
      <c r="I198" s="35">
        <v>0.35361871958419905</v>
      </c>
      <c r="J198" t="str" cm="1">
        <f t="array" ref="J198">IFERROR(INDEX('Campaign Data'!$A$2:$A$5,MATCH(1,(A198&gt;='Campaign Data'!$B$2:$B$5)*(A198&lt;='Campaign Data'!$C$2:$C$5),0)),"outside campaign")</f>
        <v>outside campaign</v>
      </c>
    </row>
    <row r="199" spans="1:10">
      <c r="A199" s="1">
        <v>45789</v>
      </c>
      <c r="B199" t="s">
        <v>34</v>
      </c>
      <c r="C199">
        <v>837</v>
      </c>
      <c r="D199">
        <v>430</v>
      </c>
      <c r="E199">
        <f>Engagment_Summary[[#This Row],[New_Followers]]-Engagment_Summary[[#This Row],[Unfollows]]</f>
        <v>407</v>
      </c>
      <c r="F199">
        <v>364820</v>
      </c>
      <c r="G199" s="35">
        <v>4</v>
      </c>
      <c r="H199">
        <v>49400</v>
      </c>
      <c r="I199" s="35">
        <v>0.11156186612576065</v>
      </c>
      <c r="J199" t="str" cm="1">
        <f t="array" ref="J199">IFERROR(INDEX('Campaign Data'!$A$2:$A$5,MATCH(1,(A199&gt;='Campaign Data'!$B$2:$B$5)*(A199&lt;='Campaign Data'!$C$2:$C$5),0)),"outside campaign")</f>
        <v>outside campaign</v>
      </c>
    </row>
    <row r="200" spans="1:10">
      <c r="A200" s="1">
        <v>45789</v>
      </c>
      <c r="B200" t="s">
        <v>14</v>
      </c>
      <c r="C200">
        <v>337</v>
      </c>
      <c r="D200">
        <v>68</v>
      </c>
      <c r="E200">
        <f>Engagment_Summary[[#This Row],[New_Followers]]-Engagment_Summary[[#This Row],[Unfollows]]</f>
        <v>269</v>
      </c>
      <c r="F200">
        <v>456298</v>
      </c>
      <c r="G200" s="35">
        <v>7.57</v>
      </c>
      <c r="H200">
        <v>4007</v>
      </c>
      <c r="I200" s="35">
        <v>5.8952701962314107E-2</v>
      </c>
      <c r="J200" t="str" cm="1">
        <f t="array" ref="J200">IFERROR(INDEX('Campaign Data'!$A$2:$A$5,MATCH(1,(A200&gt;='Campaign Data'!$B$2:$B$5)*(A200&lt;='Campaign Data'!$C$2:$C$5),0)),"outside campaign")</f>
        <v>outside campaign</v>
      </c>
    </row>
    <row r="201" spans="1:10">
      <c r="A201" s="1">
        <v>45789</v>
      </c>
      <c r="B201" t="s">
        <v>25</v>
      </c>
      <c r="C201">
        <v>119</v>
      </c>
      <c r="D201">
        <v>456</v>
      </c>
      <c r="E201">
        <f>Engagment_Summary[[#This Row],[New_Followers]]-Engagment_Summary[[#This Row],[Unfollows]]</f>
        <v>-337</v>
      </c>
      <c r="F201">
        <v>82558</v>
      </c>
      <c r="G201" s="35">
        <v>6.81</v>
      </c>
      <c r="H201">
        <v>12174</v>
      </c>
      <c r="I201" s="35">
        <v>-0.4081978730104896</v>
      </c>
      <c r="J201" t="str" cm="1">
        <f t="array" ref="J201">IFERROR(INDEX('Campaign Data'!$A$2:$A$5,MATCH(1,(A201&gt;='Campaign Data'!$B$2:$B$5)*(A201&lt;='Campaign Data'!$C$2:$C$5),0)),"outside campaign")</f>
        <v>outside campaign</v>
      </c>
    </row>
    <row r="202" spans="1:10">
      <c r="A202" s="1"/>
      <c r="G202" s="35"/>
    </row>
    <row r="204" spans="1:10">
      <c r="G204">
        <f>AVERAGEIF(Engagment_Summary[Campaign],"EndOfSeasonSale",Engagment_Summary[Ad_Spend])</f>
        <v>20146.875</v>
      </c>
    </row>
  </sheetData>
  <phoneticPr fontId="5"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F39AA-5738-46B4-886C-AEB01E3AEDCF}">
  <dimension ref="A1:F5"/>
  <sheetViews>
    <sheetView workbookViewId="0">
      <selection activeCell="B24" sqref="B24"/>
    </sheetView>
  </sheetViews>
  <sheetFormatPr defaultRowHeight="14.25"/>
  <cols>
    <col min="1" max="1" width="18.625" bestFit="1" customWidth="1"/>
    <col min="2" max="2" width="12.75" bestFit="1" customWidth="1"/>
    <col min="3" max="3" width="11.875" bestFit="1" customWidth="1"/>
    <col min="4" max="4" width="28.75" bestFit="1" customWidth="1"/>
    <col min="5" max="5" width="14.875" bestFit="1" customWidth="1"/>
    <col min="6" max="6" width="19.375" bestFit="1" customWidth="1"/>
  </cols>
  <sheetData>
    <row r="1" spans="1:6">
      <c r="A1" t="s">
        <v>12</v>
      </c>
      <c r="B1" t="s">
        <v>344</v>
      </c>
      <c r="C1" t="s">
        <v>345</v>
      </c>
      <c r="D1" t="s">
        <v>346</v>
      </c>
      <c r="E1" t="s">
        <v>347</v>
      </c>
      <c r="F1" t="s">
        <v>348</v>
      </c>
    </row>
    <row r="2" spans="1:6">
      <c r="A2" t="s">
        <v>23</v>
      </c>
      <c r="B2" s="1">
        <v>45453</v>
      </c>
      <c r="C2" s="1">
        <v>45478</v>
      </c>
      <c r="D2" t="s">
        <v>349</v>
      </c>
      <c r="E2">
        <v>180000</v>
      </c>
      <c r="F2" t="s">
        <v>350</v>
      </c>
    </row>
    <row r="3" spans="1:6">
      <c r="A3" t="s">
        <v>18</v>
      </c>
      <c r="B3" s="1">
        <v>45505</v>
      </c>
      <c r="C3" s="1">
        <v>45535</v>
      </c>
      <c r="D3" t="s">
        <v>351</v>
      </c>
      <c r="E3">
        <v>160000</v>
      </c>
      <c r="F3" t="s">
        <v>352</v>
      </c>
    </row>
    <row r="4" spans="1:6">
      <c r="A4" t="s">
        <v>32</v>
      </c>
      <c r="B4" s="1">
        <v>45570</v>
      </c>
      <c r="C4" s="1">
        <v>45601</v>
      </c>
      <c r="D4" t="s">
        <v>353</v>
      </c>
      <c r="E4">
        <v>220000</v>
      </c>
      <c r="F4" t="s">
        <v>354</v>
      </c>
    </row>
    <row r="5" spans="1:6">
      <c r="A5" t="s">
        <v>44</v>
      </c>
      <c r="B5" s="1">
        <v>45667</v>
      </c>
      <c r="C5" s="1">
        <v>45698</v>
      </c>
      <c r="D5" t="s">
        <v>355</v>
      </c>
      <c r="E5">
        <v>200000</v>
      </c>
      <c r="F5" t="s">
        <v>356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6590D-B4DB-4753-93F9-9FD850BB3973}">
  <dimension ref="C1:FO108"/>
  <sheetViews>
    <sheetView tabSelected="1" topLeftCell="A105" zoomScale="98" zoomScaleNormal="100" workbookViewId="0">
      <selection activeCell="F95" sqref="F95"/>
    </sheetView>
  </sheetViews>
  <sheetFormatPr defaultColWidth="9.625" defaultRowHeight="14.25"/>
  <cols>
    <col min="3" max="3" width="14.625" bestFit="1" customWidth="1"/>
    <col min="4" max="4" width="42.125" bestFit="1" customWidth="1"/>
    <col min="5" max="5" width="15.5" bestFit="1" customWidth="1"/>
    <col min="6" max="6" width="19.375" bestFit="1" customWidth="1"/>
    <col min="7" max="7" width="49.125" customWidth="1"/>
    <col min="8" max="8" width="21.75" bestFit="1" customWidth="1"/>
    <col min="10" max="10" width="36.125" customWidth="1"/>
    <col min="13" max="13" width="13.75" customWidth="1"/>
    <col min="14" max="14" width="16.875" customWidth="1"/>
    <col min="15" max="15" width="18" customWidth="1"/>
    <col min="16" max="16" width="20.625" bestFit="1" customWidth="1"/>
    <col min="17" max="17" width="21.75" bestFit="1" customWidth="1"/>
  </cols>
  <sheetData>
    <row r="1" spans="4:4" ht="12.75" customHeight="1"/>
    <row r="2" spans="4:4" ht="12.75" customHeight="1"/>
    <row r="3" spans="4:4" ht="12.75" customHeight="1"/>
    <row r="4" spans="4:4" ht="12.75" customHeight="1"/>
    <row r="5" spans="4:4" ht="12.75" customHeight="1">
      <c r="D5" s="2"/>
    </row>
    <row r="6" spans="4:4" ht="17.25" customHeight="1"/>
    <row r="7" spans="4:4" ht="17.25" customHeight="1"/>
    <row r="8" spans="4:4" ht="17.25" customHeight="1"/>
    <row r="9" spans="4:4" ht="17.25" customHeight="1"/>
    <row r="10" spans="4:4" ht="17.25" customHeight="1"/>
    <row r="11" spans="4:4" ht="17.25" customHeight="1"/>
    <row r="12" spans="4:4" ht="17.25" customHeight="1"/>
    <row r="13" spans="4:4" ht="17.25" customHeight="1"/>
    <row r="14" spans="4:4" ht="17.25" customHeight="1"/>
    <row r="15" spans="4:4" ht="17.25" customHeight="1"/>
    <row r="16" spans="4:4" ht="17.25" customHeight="1"/>
    <row r="17" spans="3:171" ht="17.25" customHeight="1"/>
    <row r="18" spans="3:171" ht="14.25" customHeight="1"/>
    <row r="19" spans="3:171" ht="16.5" customHeight="1"/>
    <row r="21" spans="3:171" ht="18" customHeight="1">
      <c r="J21" s="6"/>
      <c r="FK21" s="4" t="s">
        <v>377</v>
      </c>
      <c r="FL21" s="4" t="s">
        <v>378</v>
      </c>
      <c r="FM21" s="4" t="s">
        <v>379</v>
      </c>
      <c r="FN21" s="4" t="s">
        <v>380</v>
      </c>
      <c r="FO21" s="4" t="s">
        <v>381</v>
      </c>
    </row>
    <row r="22" spans="3:171" ht="24" customHeight="1">
      <c r="C22" s="4" t="s">
        <v>377</v>
      </c>
      <c r="D22" s="4" t="s">
        <v>378</v>
      </c>
      <c r="E22" s="4" t="s">
        <v>379</v>
      </c>
      <c r="F22" s="4" t="s">
        <v>380</v>
      </c>
      <c r="G22" s="4" t="s">
        <v>381</v>
      </c>
      <c r="FK22" s="5" t="s">
        <v>25</v>
      </c>
      <c r="FL22" s="3">
        <f>SUMIF(Post_Engagement[Platform],"Youtube",Post_Engagement[Likes])</f>
        <v>171549</v>
      </c>
      <c r="FM22" s="3">
        <f>SUMIF(Post_Engagement[Platform],"Youtube",Post_Engagement[Shares])</f>
        <v>28572</v>
      </c>
      <c r="FN22" s="3">
        <f>SUMIF(Post_Engagement[Platform],"Youtube",Post_Engagement[Comments])</f>
        <v>12820</v>
      </c>
      <c r="FO22" s="3">
        <f>SUMIF(Post_Engagement[Platform],"Youtube",Post_Engagement[Impressions])</f>
        <v>2268407</v>
      </c>
    </row>
    <row r="23" spans="3:171" ht="24" customHeight="1">
      <c r="C23" s="32" t="s">
        <v>25</v>
      </c>
      <c r="D23" s="28">
        <f>SUMIF(Post_Engagement[Platform],"Youtube",Post_Engagement[Likes])</f>
        <v>171549</v>
      </c>
      <c r="E23" s="28">
        <f>SUMIF(Post_Engagement[Platform],"Youtube",Post_Engagement[Shares])</f>
        <v>28572</v>
      </c>
      <c r="F23" s="28">
        <f>SUMIF(Post_Engagement[Platform],"Youtube",Post_Engagement[Comments])</f>
        <v>12820</v>
      </c>
      <c r="G23" s="28">
        <f>SUMIF(Post_Engagement[Platform],"Youtube",Post_Engagement[Impressions])</f>
        <v>2268407</v>
      </c>
      <c r="FK23" s="5" t="s">
        <v>27</v>
      </c>
      <c r="FL23" s="3">
        <f>SUMIF(Post_Engagement[Platform],"Instagram",Post_Engagement[Likes])</f>
        <v>204284</v>
      </c>
      <c r="FM23" s="3">
        <f>SUMIF(Post_Engagement[Platform],"Instagram",Post_Engagement[Shares])</f>
        <v>41444</v>
      </c>
      <c r="FN23" s="3">
        <f>SUMIF(Post_Engagement[Platform],"Instagram",Post_Engagement[Comments])</f>
        <v>17851</v>
      </c>
      <c r="FO23" s="3">
        <f>SUMIF(Post_Engagement[Platform],"Instagram",Post_Engagement[Impressions])</f>
        <v>2325756</v>
      </c>
    </row>
    <row r="24" spans="3:171" ht="24" customHeight="1">
      <c r="C24" s="32" t="s">
        <v>27</v>
      </c>
      <c r="D24" s="28">
        <f>SUMIF(Post_Engagement[Platform],"Instagram",Post_Engagement[Likes])</f>
        <v>204284</v>
      </c>
      <c r="E24" s="28">
        <f>SUMIF(Post_Engagement[Platform],"Instagram",Post_Engagement[Shares])</f>
        <v>41444</v>
      </c>
      <c r="F24" s="28">
        <f>SUMIF(Post_Engagement[Platform],"Instagram",Post_Engagement[Comments])</f>
        <v>17851</v>
      </c>
      <c r="G24" s="28">
        <f>SUMIF(Post_Engagement[Platform],"Instagram",Post_Engagement[Impressions])</f>
        <v>2325756</v>
      </c>
      <c r="FK24" s="5" t="s">
        <v>34</v>
      </c>
      <c r="FL24" s="3">
        <f>SUMIF(Post_Engagement[Platform],"Facebook",Post_Engagement[Likes])</f>
        <v>242761</v>
      </c>
      <c r="FM24" s="3">
        <f>SUMIF(Post_Engagement[Platform],"Facebook",Post_Engagement[Shares])</f>
        <v>39181</v>
      </c>
      <c r="FN24" s="3">
        <f>SUMIF(Post_Engagement[Platform],"Facebook",Post_Engagement[Comments])</f>
        <v>23300</v>
      </c>
      <c r="FO24" s="3">
        <f>SUMIF(Post_Engagement[Platform],"Facebook",Post_Engagement[Impressions])</f>
        <v>3239154</v>
      </c>
    </row>
    <row r="25" spans="3:171" ht="24" customHeight="1">
      <c r="C25" s="32" t="s">
        <v>34</v>
      </c>
      <c r="D25" s="28">
        <f>SUMIF(Post_Engagement[Platform],"Facebook",Post_Engagement[Likes])</f>
        <v>242761</v>
      </c>
      <c r="E25" s="28">
        <f>SUMIF(Post_Engagement[Platform],"Facebook",Post_Engagement[Shares])</f>
        <v>39181</v>
      </c>
      <c r="F25" s="28">
        <f>SUMIF(Post_Engagement[Platform],"Facebook",Post_Engagement[Comments])</f>
        <v>23300</v>
      </c>
      <c r="G25" s="28">
        <f>SUMIF(Post_Engagement[Platform],"Facebook",Post_Engagement[Impressions])</f>
        <v>3239154</v>
      </c>
      <c r="FK25" s="5" t="s">
        <v>14</v>
      </c>
      <c r="FL25" s="3">
        <f>SUMIF(Post_Engagement[Platform],"Twitter",Post_Engagement[Likes])</f>
        <v>201397</v>
      </c>
      <c r="FM25" s="3">
        <f>SUMIF(Post_Engagement[Platform],"Twitter",Post_Engagement[Shares])</f>
        <v>33728</v>
      </c>
      <c r="FN25" s="3">
        <f>SUMIF(Post_Engagement[Platform],"Twitter",Post_Engagement[Comments])</f>
        <v>20880</v>
      </c>
      <c r="FO25" s="3">
        <f>SUMIF(Post_Engagement[Platform],"Twitter",Post_Engagement[Impressions])</f>
        <v>2560836</v>
      </c>
    </row>
    <row r="26" spans="3:171" ht="24" customHeight="1">
      <c r="C26" s="32" t="s">
        <v>14</v>
      </c>
      <c r="D26" s="28">
        <f>SUMIF(Post_Engagement[Platform],"Twitter",Post_Engagement[Likes])</f>
        <v>201397</v>
      </c>
      <c r="E26" s="28">
        <f>SUMIF(Post_Engagement[Platform],"Twitter",Post_Engagement[Shares])</f>
        <v>33728</v>
      </c>
      <c r="F26" s="28">
        <f>SUMIF(Post_Engagement[Platform],"Twitter",Post_Engagement[Comments])</f>
        <v>20880</v>
      </c>
      <c r="G26" s="28">
        <f>SUMIF(Post_Engagement[Platform],"Twitter",Post_Engagement[Impressions])</f>
        <v>2560836</v>
      </c>
      <c r="FK26" s="5" t="s">
        <v>382</v>
      </c>
      <c r="FL26" s="3">
        <f>SUM(FL22:FL25)</f>
        <v>819991</v>
      </c>
      <c r="FM26" s="3">
        <f>SUM(FM22:FM25)</f>
        <v>142925</v>
      </c>
      <c r="FN26" s="3">
        <f>SUM(FN22:FN25)</f>
        <v>74851</v>
      </c>
      <c r="FO26" s="3">
        <f>SUM(FO22:FO25)</f>
        <v>10394153</v>
      </c>
    </row>
    <row r="27" spans="3:171" ht="28.5" customHeight="1">
      <c r="C27" s="56" t="s">
        <v>382</v>
      </c>
      <c r="D27" s="7">
        <f>SUM(D23:D26)</f>
        <v>819991</v>
      </c>
      <c r="E27" s="7">
        <f>SUM(E23:E26)</f>
        <v>142925</v>
      </c>
      <c r="F27" s="7">
        <f>SUM(F23:F26)</f>
        <v>74851</v>
      </c>
      <c r="G27" s="7">
        <f>SUM(G23:G26)</f>
        <v>10394153</v>
      </c>
    </row>
    <row r="28" spans="3:171" ht="15" customHeight="1">
      <c r="G28" t="s">
        <v>398</v>
      </c>
    </row>
    <row r="29" spans="3:171" ht="20.25" customHeight="1">
      <c r="D29" s="33" t="s">
        <v>387</v>
      </c>
      <c r="E29" s="34"/>
    </row>
    <row r="30" spans="3:171" ht="20.25" customHeight="1">
      <c r="D30" s="28" t="s">
        <v>383</v>
      </c>
      <c r="E30" s="29">
        <f>SUM(D23:F23)/G23</f>
        <v>9.387248408244199E-2</v>
      </c>
    </row>
    <row r="31" spans="3:171" ht="20.25" customHeight="1">
      <c r="D31" s="28" t="s">
        <v>384</v>
      </c>
      <c r="E31" s="30">
        <f t="shared" ref="E31:E33" si="0">SUM(D24:F24)/G24</f>
        <v>0.11333046114897694</v>
      </c>
    </row>
    <row r="32" spans="3:171" ht="20.25" customHeight="1">
      <c r="D32" s="28" t="s">
        <v>385</v>
      </c>
      <c r="E32" s="29">
        <f t="shared" si="0"/>
        <v>9.4235099658738053E-2</v>
      </c>
    </row>
    <row r="33" spans="4:5" ht="20.25" customHeight="1">
      <c r="D33" s="28" t="s">
        <v>386</v>
      </c>
      <c r="E33" s="30">
        <f t="shared" si="0"/>
        <v>9.9969306898216051E-2</v>
      </c>
    </row>
    <row r="34" spans="4:5" ht="20.25" customHeight="1">
      <c r="D34" s="7" t="s">
        <v>388</v>
      </c>
      <c r="E34" s="31">
        <f>SUM(D27:F27)/G27</f>
        <v>9.9841420460137539E-2</v>
      </c>
    </row>
    <row r="35" spans="4:5" ht="20.25" customHeight="1"/>
    <row r="36" spans="4:5" ht="20.25" customHeight="1"/>
    <row r="37" spans="4:5" ht="20.25" customHeight="1"/>
    <row r="38" spans="4:5" ht="20.25" customHeight="1"/>
    <row r="39" spans="4:5" ht="9.75" customHeight="1"/>
    <row r="40" spans="4:5" ht="9.75" customHeight="1"/>
    <row r="41" spans="4:5" ht="9.75" customHeight="1"/>
    <row r="42" spans="4:5" ht="9.75" customHeight="1"/>
    <row r="50" spans="3:16" ht="9.75" customHeight="1"/>
    <row r="51" spans="3:16" ht="9.75" customHeight="1"/>
    <row r="52" spans="3:16" ht="9.75" customHeight="1"/>
    <row r="53" spans="3:16" ht="9.75" customHeight="1"/>
    <row r="54" spans="3:16" ht="15">
      <c r="C54" s="12" t="s">
        <v>0</v>
      </c>
      <c r="D54" s="13" t="s">
        <v>1</v>
      </c>
      <c r="E54" s="13" t="s">
        <v>2</v>
      </c>
      <c r="F54" s="13" t="s">
        <v>3</v>
      </c>
      <c r="G54" s="13" t="s">
        <v>4</v>
      </c>
      <c r="H54" s="13" t="s">
        <v>5</v>
      </c>
      <c r="I54" s="13" t="s">
        <v>6</v>
      </c>
      <c r="J54" s="13" t="s">
        <v>7</v>
      </c>
      <c r="K54" s="13" t="s">
        <v>8</v>
      </c>
      <c r="L54" s="13" t="s">
        <v>9</v>
      </c>
      <c r="M54" s="13" t="s">
        <v>10</v>
      </c>
      <c r="N54" s="13" t="s">
        <v>11</v>
      </c>
      <c r="O54" s="13" t="s">
        <v>12</v>
      </c>
      <c r="P54" s="14" t="s">
        <v>342</v>
      </c>
    </row>
    <row r="55" spans="3:16">
      <c r="C55" s="8" t="s">
        <v>257</v>
      </c>
      <c r="D55" s="9" t="s">
        <v>27</v>
      </c>
      <c r="E55" s="15">
        <v>45445</v>
      </c>
      <c r="F55" s="9" t="s">
        <v>28</v>
      </c>
      <c r="G55" s="9" t="s">
        <v>29</v>
      </c>
      <c r="H55" s="9">
        <v>84</v>
      </c>
      <c r="I55" s="9">
        <v>897</v>
      </c>
      <c r="J55" s="9">
        <v>85</v>
      </c>
      <c r="K55" s="9">
        <v>588</v>
      </c>
      <c r="L55" s="9">
        <v>8</v>
      </c>
      <c r="M55" s="9">
        <v>12</v>
      </c>
      <c r="N55" s="9" t="s">
        <v>31</v>
      </c>
      <c r="O55" s="9" t="s">
        <v>23</v>
      </c>
      <c r="P55" s="17">
        <v>181.29</v>
      </c>
    </row>
    <row r="56" spans="3:16">
      <c r="C56" s="10" t="s">
        <v>95</v>
      </c>
      <c r="D56" s="11" t="s">
        <v>27</v>
      </c>
      <c r="E56" s="16">
        <v>45762</v>
      </c>
      <c r="F56" s="11" t="s">
        <v>15</v>
      </c>
      <c r="G56" s="11" t="s">
        <v>16</v>
      </c>
      <c r="H56" s="11">
        <v>103</v>
      </c>
      <c r="I56" s="11">
        <v>770</v>
      </c>
      <c r="J56" s="11">
        <v>19</v>
      </c>
      <c r="K56" s="11">
        <v>1030</v>
      </c>
      <c r="L56" s="11">
        <v>410</v>
      </c>
      <c r="M56" s="11">
        <v>262</v>
      </c>
      <c r="N56" s="11" t="s">
        <v>17</v>
      </c>
      <c r="O56" s="11" t="s">
        <v>32</v>
      </c>
      <c r="P56" s="18">
        <v>86.6</v>
      </c>
    </row>
    <row r="57" spans="3:16">
      <c r="C57" s="8" t="s">
        <v>269</v>
      </c>
      <c r="D57" s="9" t="s">
        <v>14</v>
      </c>
      <c r="E57" s="15">
        <v>45776</v>
      </c>
      <c r="F57" s="9" t="s">
        <v>28</v>
      </c>
      <c r="G57" s="9" t="s">
        <v>29</v>
      </c>
      <c r="H57" s="9">
        <v>249</v>
      </c>
      <c r="I57" s="9">
        <v>592</v>
      </c>
      <c r="J57" s="9">
        <v>230</v>
      </c>
      <c r="K57" s="9">
        <v>1494</v>
      </c>
      <c r="L57" s="9">
        <v>1044</v>
      </c>
      <c r="M57" s="9">
        <v>201</v>
      </c>
      <c r="N57" s="9" t="s">
        <v>376</v>
      </c>
      <c r="O57" s="9" t="s">
        <v>44</v>
      </c>
      <c r="P57" s="17">
        <v>71.69</v>
      </c>
    </row>
    <row r="58" spans="3:16">
      <c r="C58" s="10" t="s">
        <v>215</v>
      </c>
      <c r="D58" s="11" t="s">
        <v>27</v>
      </c>
      <c r="E58" s="16">
        <v>45603</v>
      </c>
      <c r="F58" s="11" t="s">
        <v>50</v>
      </c>
      <c r="G58" s="11" t="s">
        <v>51</v>
      </c>
      <c r="H58" s="11">
        <v>129</v>
      </c>
      <c r="I58" s="11">
        <v>643</v>
      </c>
      <c r="J58" s="11">
        <v>136</v>
      </c>
      <c r="K58" s="11">
        <v>1290</v>
      </c>
      <c r="L58" s="11">
        <v>839</v>
      </c>
      <c r="M58" s="11">
        <v>238</v>
      </c>
      <c r="N58" s="11" t="s">
        <v>371</v>
      </c>
      <c r="O58" s="11" t="s">
        <v>44</v>
      </c>
      <c r="P58" s="18">
        <v>70.39</v>
      </c>
    </row>
    <row r="59" spans="3:16">
      <c r="C59" s="8" t="s">
        <v>212</v>
      </c>
      <c r="D59" s="9" t="s">
        <v>27</v>
      </c>
      <c r="E59" s="15">
        <v>45674</v>
      </c>
      <c r="F59" s="9" t="s">
        <v>15</v>
      </c>
      <c r="G59" s="9" t="s">
        <v>16</v>
      </c>
      <c r="H59" s="9">
        <v>142</v>
      </c>
      <c r="I59" s="9">
        <v>784</v>
      </c>
      <c r="J59" s="9">
        <v>183</v>
      </c>
      <c r="K59" s="9">
        <v>1704</v>
      </c>
      <c r="L59" s="9">
        <v>995</v>
      </c>
      <c r="M59" s="9">
        <v>154</v>
      </c>
      <c r="N59" s="9" t="s">
        <v>17</v>
      </c>
      <c r="O59" s="9" t="s">
        <v>18</v>
      </c>
      <c r="P59" s="17">
        <v>65.08</v>
      </c>
    </row>
    <row r="60" spans="3:16">
      <c r="C60" s="10" t="s">
        <v>99</v>
      </c>
      <c r="D60" s="11" t="s">
        <v>14</v>
      </c>
      <c r="E60" s="16">
        <v>45618</v>
      </c>
      <c r="F60" s="11" t="s">
        <v>35</v>
      </c>
      <c r="G60" s="11" t="s">
        <v>36</v>
      </c>
      <c r="H60" s="11">
        <v>53</v>
      </c>
      <c r="I60" s="11">
        <v>81</v>
      </c>
      <c r="J60" s="11">
        <v>379</v>
      </c>
      <c r="K60" s="11">
        <v>954</v>
      </c>
      <c r="L60" s="11">
        <v>7</v>
      </c>
      <c r="M60" s="11">
        <v>148</v>
      </c>
      <c r="N60" s="11" t="s">
        <v>52</v>
      </c>
      <c r="O60" s="11" t="s">
        <v>32</v>
      </c>
      <c r="P60" s="18">
        <v>53.77</v>
      </c>
    </row>
    <row r="61" spans="3:16">
      <c r="C61" s="8" t="s">
        <v>301</v>
      </c>
      <c r="D61" s="9" t="s">
        <v>14</v>
      </c>
      <c r="E61" s="15">
        <v>45687</v>
      </c>
      <c r="F61" s="9" t="s">
        <v>40</v>
      </c>
      <c r="G61" s="9" t="s">
        <v>41</v>
      </c>
      <c r="H61" s="9">
        <v>59</v>
      </c>
      <c r="I61" s="9">
        <v>163</v>
      </c>
      <c r="J61" s="9">
        <v>93</v>
      </c>
      <c r="K61" s="9">
        <v>590</v>
      </c>
      <c r="L61" s="9">
        <v>475</v>
      </c>
      <c r="M61" s="9">
        <v>293</v>
      </c>
      <c r="N61" s="9" t="s">
        <v>37</v>
      </c>
      <c r="O61" s="9" t="s">
        <v>44</v>
      </c>
      <c r="P61" s="17">
        <v>53.39</v>
      </c>
    </row>
    <row r="62" spans="3:16">
      <c r="C62" s="10" t="s">
        <v>180</v>
      </c>
      <c r="D62" s="11" t="s">
        <v>25</v>
      </c>
      <c r="E62" s="16">
        <v>45567</v>
      </c>
      <c r="F62" s="11" t="s">
        <v>35</v>
      </c>
      <c r="G62" s="11" t="s">
        <v>36</v>
      </c>
      <c r="H62" s="11">
        <v>80</v>
      </c>
      <c r="I62" s="11">
        <v>362</v>
      </c>
      <c r="J62" s="11">
        <v>80</v>
      </c>
      <c r="K62" s="11">
        <v>1040</v>
      </c>
      <c r="L62" s="11">
        <v>349</v>
      </c>
      <c r="M62" s="11">
        <v>117</v>
      </c>
      <c r="N62" s="11" t="s">
        <v>370</v>
      </c>
      <c r="O62" s="11" t="s">
        <v>23</v>
      </c>
      <c r="P62" s="18">
        <v>50.19</v>
      </c>
    </row>
    <row r="63" spans="3:16">
      <c r="C63" s="8" t="s">
        <v>247</v>
      </c>
      <c r="D63" s="9" t="s">
        <v>25</v>
      </c>
      <c r="E63" s="15">
        <v>45707</v>
      </c>
      <c r="F63" s="9" t="s">
        <v>40</v>
      </c>
      <c r="G63" s="9" t="s">
        <v>41</v>
      </c>
      <c r="H63" s="9">
        <v>257</v>
      </c>
      <c r="I63" s="9">
        <v>966</v>
      </c>
      <c r="J63" s="9">
        <v>398</v>
      </c>
      <c r="K63" s="9">
        <v>3341</v>
      </c>
      <c r="L63" s="9">
        <v>2753</v>
      </c>
      <c r="M63" s="9">
        <v>287</v>
      </c>
      <c r="N63" s="9" t="s">
        <v>373</v>
      </c>
      <c r="O63" s="9" t="s">
        <v>18</v>
      </c>
      <c r="P63" s="17">
        <v>48.52</v>
      </c>
    </row>
    <row r="64" spans="3:16">
      <c r="C64" s="10" t="s">
        <v>107</v>
      </c>
      <c r="D64" s="11" t="s">
        <v>34</v>
      </c>
      <c r="E64" s="16">
        <v>45749</v>
      </c>
      <c r="F64" s="11" t="s">
        <v>50</v>
      </c>
      <c r="G64" s="11" t="s">
        <v>51</v>
      </c>
      <c r="H64" s="11">
        <v>199</v>
      </c>
      <c r="I64" s="11">
        <v>772</v>
      </c>
      <c r="J64" s="11">
        <v>400</v>
      </c>
      <c r="K64" s="11">
        <v>3582</v>
      </c>
      <c r="L64" s="11">
        <v>2988</v>
      </c>
      <c r="M64" s="11">
        <v>43</v>
      </c>
      <c r="N64" s="11" t="s">
        <v>37</v>
      </c>
      <c r="O64" s="11" t="s">
        <v>18</v>
      </c>
      <c r="P64" s="18">
        <v>38.270000000000003</v>
      </c>
    </row>
    <row r="65" spans="3:6" ht="9.75" customHeight="1"/>
    <row r="66" spans="3:6" ht="9.75" customHeight="1"/>
    <row r="67" spans="3:6" ht="9.75" customHeight="1"/>
    <row r="68" spans="3:6" ht="9.75" customHeight="1"/>
    <row r="69" spans="3:6" ht="9.75" customHeight="1"/>
    <row r="73" spans="3:6" ht="15">
      <c r="C73" s="23" t="s">
        <v>389</v>
      </c>
      <c r="D73" s="27" t="s">
        <v>391</v>
      </c>
      <c r="E73" s="27" t="s">
        <v>392</v>
      </c>
      <c r="F73" s="27" t="s">
        <v>393</v>
      </c>
    </row>
    <row r="74" spans="3:6" ht="15">
      <c r="C74" s="25" t="s">
        <v>34</v>
      </c>
      <c r="D74" s="77">
        <v>28947</v>
      </c>
      <c r="E74" s="77">
        <v>3171</v>
      </c>
      <c r="F74" s="77">
        <v>2263</v>
      </c>
    </row>
    <row r="75" spans="3:6" ht="15">
      <c r="C75" s="25" t="s">
        <v>27</v>
      </c>
      <c r="D75" s="77">
        <v>25770</v>
      </c>
      <c r="E75" s="77">
        <v>5912</v>
      </c>
      <c r="F75" s="77">
        <v>2128</v>
      </c>
    </row>
    <row r="76" spans="3:6" ht="15">
      <c r="C76" s="25" t="s">
        <v>14</v>
      </c>
      <c r="D76" s="77">
        <v>29593</v>
      </c>
      <c r="E76" s="77">
        <v>6326</v>
      </c>
      <c r="F76" s="77">
        <v>3299</v>
      </c>
    </row>
    <row r="77" spans="3:6" ht="15">
      <c r="C77" s="25" t="s">
        <v>25</v>
      </c>
      <c r="D77" s="77">
        <v>31285</v>
      </c>
      <c r="E77" s="77">
        <v>5586</v>
      </c>
      <c r="F77" s="77">
        <v>2589</v>
      </c>
    </row>
    <row r="78" spans="3:6" ht="15">
      <c r="C78" s="25" t="s">
        <v>390</v>
      </c>
      <c r="D78" s="77">
        <v>115595</v>
      </c>
      <c r="E78" s="77">
        <v>20995</v>
      </c>
      <c r="F78" s="77">
        <v>10279</v>
      </c>
    </row>
    <row r="81" spans="3:4" ht="9.75" customHeight="1"/>
    <row r="82" spans="3:4" ht="9.75" customHeight="1"/>
    <row r="83" spans="3:4" ht="9.75" customHeight="1"/>
    <row r="84" spans="3:4" ht="9.75" customHeight="1"/>
    <row r="85" spans="3:4" ht="9.75" customHeight="1"/>
    <row r="86" spans="3:4" ht="9.75" customHeight="1"/>
    <row r="87" spans="3:4" ht="9.75" customHeight="1"/>
    <row r="90" spans="3:4" ht="15">
      <c r="C90" s="23" t="s">
        <v>397</v>
      </c>
      <c r="D90" s="24" t="s">
        <v>396</v>
      </c>
    </row>
    <row r="91" spans="3:4" ht="15">
      <c r="C91" s="25" t="s">
        <v>52</v>
      </c>
      <c r="D91" s="26">
        <v>152.57499999999999</v>
      </c>
    </row>
    <row r="92" spans="3:4" ht="15">
      <c r="C92" s="25" t="s">
        <v>22</v>
      </c>
      <c r="D92" s="26">
        <v>140.96385542168676</v>
      </c>
    </row>
    <row r="93" spans="3:4" ht="15">
      <c r="C93" s="25" t="s">
        <v>17</v>
      </c>
      <c r="D93" s="26">
        <v>149.70103092783506</v>
      </c>
    </row>
    <row r="94" spans="3:4" ht="15">
      <c r="C94" s="25" t="s">
        <v>37</v>
      </c>
      <c r="D94" s="26">
        <v>165.27173913043478</v>
      </c>
    </row>
    <row r="95" spans="3:4" ht="15">
      <c r="C95" s="25" t="s">
        <v>31</v>
      </c>
      <c r="D95" s="26">
        <v>146.16346153846155</v>
      </c>
    </row>
    <row r="96" spans="3:4" ht="15">
      <c r="C96" s="25" t="s">
        <v>390</v>
      </c>
      <c r="D96" s="26">
        <v>150.94956140350877</v>
      </c>
    </row>
    <row r="102" spans="3:6">
      <c r="C102" s="19" t="s">
        <v>389</v>
      </c>
      <c r="D102" s="21" t="s">
        <v>395</v>
      </c>
      <c r="E102" s="22" t="s">
        <v>394</v>
      </c>
      <c r="F102" s="22" t="s">
        <v>399</v>
      </c>
    </row>
    <row r="103" spans="3:6">
      <c r="C103" s="20" t="s">
        <v>52</v>
      </c>
      <c r="D103" s="22">
        <v>34086.8125</v>
      </c>
      <c r="E103" s="22">
        <v>152.57499999999999</v>
      </c>
      <c r="F103" s="22">
        <v>13.661000000000001</v>
      </c>
    </row>
    <row r="104" spans="3:6">
      <c r="C104" s="20" t="s">
        <v>22</v>
      </c>
      <c r="D104" s="22">
        <v>33520.277108433736</v>
      </c>
      <c r="E104" s="22">
        <v>140.96385542168676</v>
      </c>
      <c r="F104" s="22">
        <v>14.54963855421687</v>
      </c>
    </row>
    <row r="105" spans="3:6">
      <c r="C105" s="20" t="s">
        <v>17</v>
      </c>
      <c r="D105" s="22">
        <v>32666.030927835051</v>
      </c>
      <c r="E105" s="22">
        <v>149.70103092783506</v>
      </c>
      <c r="F105" s="22">
        <v>14.917422680412367</v>
      </c>
    </row>
    <row r="106" spans="3:6">
      <c r="C106" s="20" t="s">
        <v>37</v>
      </c>
      <c r="D106" s="22">
        <v>35209.07608695652</v>
      </c>
      <c r="E106" s="22">
        <v>165.27173913043478</v>
      </c>
      <c r="F106" s="22">
        <v>14.353695652173915</v>
      </c>
    </row>
    <row r="107" spans="3:6">
      <c r="C107" s="20" t="s">
        <v>31</v>
      </c>
      <c r="D107" s="22">
        <v>34492.471153846156</v>
      </c>
      <c r="E107" s="22">
        <v>146.16346153846155</v>
      </c>
      <c r="F107" s="22">
        <v>15.618557692307689</v>
      </c>
    </row>
    <row r="108" spans="3:6">
      <c r="C108" s="20" t="s">
        <v>390</v>
      </c>
      <c r="D108" s="22">
        <v>34000.405701754389</v>
      </c>
      <c r="E108" s="22">
        <v>150.94956140350877</v>
      </c>
      <c r="F108" s="22">
        <v>14.676228070175444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0AD0D-F697-4CAA-9B83-FC490C6F03F6}">
  <dimension ref="D7:J73"/>
  <sheetViews>
    <sheetView topLeftCell="D69" zoomScale="93" zoomScaleNormal="95" workbookViewId="0">
      <selection activeCell="E70" sqref="E70"/>
    </sheetView>
  </sheetViews>
  <sheetFormatPr defaultRowHeight="14.25"/>
  <cols>
    <col min="2" max="2" width="11.25" customWidth="1"/>
    <col min="3" max="3" width="16" customWidth="1"/>
    <col min="4" max="4" width="19" customWidth="1"/>
    <col min="5" max="5" width="48.25" style="6" customWidth="1"/>
    <col min="6" max="6" width="27.625" bestFit="1" customWidth="1"/>
    <col min="8" max="8" width="14.125" bestFit="1" customWidth="1"/>
    <col min="9" max="9" width="31.375" bestFit="1" customWidth="1"/>
    <col min="10" max="10" width="27.75" bestFit="1" customWidth="1"/>
    <col min="11" max="11" width="14.625" customWidth="1"/>
    <col min="18" max="18" width="14.125" bestFit="1" customWidth="1"/>
    <col min="19" max="19" width="31.375" bestFit="1" customWidth="1"/>
  </cols>
  <sheetData>
    <row r="7" spans="4:5" ht="23.25" customHeight="1">
      <c r="D7" s="38" t="s">
        <v>1</v>
      </c>
      <c r="E7" s="39" t="s">
        <v>400</v>
      </c>
    </row>
    <row r="8" spans="4:5" ht="18.75" customHeight="1">
      <c r="D8" s="40" t="s">
        <v>25</v>
      </c>
      <c r="E8" s="42">
        <f>AVERAGEIF(Engagment_Summary[Platform],"YouTube",Engagment_Summary[Engagement_Rate])</f>
        <v>5.5587999999999997</v>
      </c>
    </row>
    <row r="9" spans="4:5" ht="18.75" customHeight="1">
      <c r="D9" s="40" t="s">
        <v>27</v>
      </c>
      <c r="E9" s="42">
        <f>AVERAGEIF(Engagment_Summary[Platform],"Instagram",Engagment_Summary[Engagement_Rate])</f>
        <v>5.7156000000000002</v>
      </c>
    </row>
    <row r="10" spans="4:5" ht="18.75" customHeight="1">
      <c r="D10" s="40" t="s">
        <v>34</v>
      </c>
      <c r="E10" s="42">
        <f>AVERAGEIF(Engagment_Summary[Platform],"Facebook",Engagment_Summary[Engagement_Rate])</f>
        <v>5.6486000000000001</v>
      </c>
    </row>
    <row r="11" spans="4:5" ht="22.5" customHeight="1">
      <c r="D11" s="40" t="s">
        <v>14</v>
      </c>
      <c r="E11" s="42">
        <f>AVERAGEIF(Engagment_Summary[Platform],"Twitter",Engagment_Summary[Engagement_Rate])</f>
        <v>5.6558000000000002</v>
      </c>
    </row>
    <row r="12" spans="4:5">
      <c r="D12" s="40" t="s">
        <v>401</v>
      </c>
      <c r="E12" s="42">
        <f>AVERAGE(Engagment_Summary[Engagement_Rate])</f>
        <v>5.6446999999999976</v>
      </c>
    </row>
    <row r="14" spans="4:5" ht="22.5" customHeight="1">
      <c r="D14" s="36" t="s">
        <v>402</v>
      </c>
      <c r="E14" s="37" t="s">
        <v>403</v>
      </c>
    </row>
    <row r="15" spans="4:5" ht="22.5" customHeight="1">
      <c r="D15" s="40" t="s">
        <v>25</v>
      </c>
      <c r="E15" s="41" t="s">
        <v>405</v>
      </c>
    </row>
    <row r="16" spans="4:5" ht="22.5" customHeight="1">
      <c r="D16" s="40" t="s">
        <v>27</v>
      </c>
      <c r="E16" s="41" t="s">
        <v>404</v>
      </c>
    </row>
    <row r="17" spans="4:9" ht="22.5" customHeight="1">
      <c r="D17" s="40" t="s">
        <v>34</v>
      </c>
      <c r="E17" s="41" t="s">
        <v>406</v>
      </c>
    </row>
    <row r="18" spans="4:9" ht="22.5" customHeight="1">
      <c r="D18" s="40" t="s">
        <v>14</v>
      </c>
      <c r="E18" s="41" t="s">
        <v>407</v>
      </c>
    </row>
    <row r="24" spans="4:9">
      <c r="E24"/>
    </row>
    <row r="25" spans="4:9">
      <c r="E25"/>
    </row>
    <row r="26" spans="4:9">
      <c r="E26"/>
    </row>
    <row r="27" spans="4:9">
      <c r="E27"/>
    </row>
    <row r="28" spans="4:9">
      <c r="E28"/>
    </row>
    <row r="29" spans="4:9" ht="18.75" customHeight="1">
      <c r="E29"/>
      <c r="H29" s="19" t="s">
        <v>389</v>
      </c>
      <c r="I29" t="s">
        <v>409</v>
      </c>
    </row>
    <row r="30" spans="4:9" ht="18.75" customHeight="1">
      <c r="H30" s="20" t="s">
        <v>34</v>
      </c>
      <c r="I30" s="35">
        <v>0.54649906832972628</v>
      </c>
    </row>
    <row r="31" spans="4:9" ht="18.75" customHeight="1">
      <c r="H31" s="20" t="s">
        <v>27</v>
      </c>
      <c r="I31" s="35">
        <v>0.57625321264951812</v>
      </c>
    </row>
    <row r="32" spans="4:9" ht="18.75" customHeight="1">
      <c r="H32" s="20" t="s">
        <v>14</v>
      </c>
      <c r="I32" s="35">
        <v>0.92800256766213385</v>
      </c>
    </row>
    <row r="33" spans="5:9" ht="18.75" customHeight="1">
      <c r="H33" s="20" t="s">
        <v>25</v>
      </c>
      <c r="I33" s="35">
        <v>0.90210666313360066</v>
      </c>
    </row>
    <row r="34" spans="5:9" ht="18.75" customHeight="1">
      <c r="H34" s="20" t="s">
        <v>390</v>
      </c>
      <c r="I34" s="35">
        <v>0.73821537794374481</v>
      </c>
    </row>
    <row r="38" spans="5:9" ht="10.5" customHeight="1">
      <c r="E38"/>
    </row>
    <row r="39" spans="5:9" ht="10.5" customHeight="1">
      <c r="E39"/>
    </row>
    <row r="40" spans="5:9" ht="10.5" customHeight="1">
      <c r="E40"/>
    </row>
    <row r="41" spans="5:9" ht="10.5" customHeight="1">
      <c r="E41"/>
    </row>
    <row r="42" spans="5:9" ht="10.5" customHeight="1">
      <c r="E42"/>
    </row>
    <row r="43" spans="5:9" ht="10.5" customHeight="1">
      <c r="E43"/>
    </row>
    <row r="44" spans="5:9" ht="10.5" customHeight="1">
      <c r="E44"/>
    </row>
    <row r="45" spans="5:9">
      <c r="E45"/>
    </row>
    <row r="46" spans="5:9">
      <c r="E46"/>
    </row>
    <row r="47" spans="5:9">
      <c r="E47"/>
    </row>
    <row r="48" spans="5:9">
      <c r="E48"/>
    </row>
    <row r="49" spans="5:10">
      <c r="E49"/>
    </row>
    <row r="50" spans="5:10">
      <c r="E50"/>
    </row>
    <row r="52" spans="5:10" ht="18.75" customHeight="1">
      <c r="H52" s="19" t="s">
        <v>389</v>
      </c>
      <c r="I52" s="2" t="s">
        <v>408</v>
      </c>
      <c r="J52" s="2" t="s">
        <v>399</v>
      </c>
    </row>
    <row r="53" spans="5:10" ht="18.75" customHeight="1">
      <c r="H53" s="20" t="s">
        <v>34</v>
      </c>
      <c r="I53" s="22">
        <v>27590.78</v>
      </c>
      <c r="J53" s="43">
        <v>5.6486000000000001</v>
      </c>
    </row>
    <row r="54" spans="5:10" ht="18.75" customHeight="1">
      <c r="E54"/>
      <c r="H54" s="20" t="s">
        <v>27</v>
      </c>
      <c r="I54" s="22">
        <v>23287.46</v>
      </c>
      <c r="J54" s="43">
        <v>5.7156000000000002</v>
      </c>
    </row>
    <row r="55" spans="5:10" ht="18.75" customHeight="1">
      <c r="E55"/>
      <c r="H55" s="20" t="s">
        <v>14</v>
      </c>
      <c r="I55" s="22">
        <v>21207.14</v>
      </c>
      <c r="J55" s="43">
        <v>5.6558000000000002</v>
      </c>
    </row>
    <row r="56" spans="5:10" ht="18.75" customHeight="1">
      <c r="E56"/>
      <c r="H56" s="20" t="s">
        <v>25</v>
      </c>
      <c r="I56" s="22">
        <v>24572.94</v>
      </c>
      <c r="J56" s="43">
        <v>5.5587999999999997</v>
      </c>
    </row>
    <row r="57" spans="5:10" ht="18.75" customHeight="1">
      <c r="E57"/>
      <c r="H57" s="20" t="s">
        <v>390</v>
      </c>
      <c r="I57" s="22">
        <v>24164.58</v>
      </c>
      <c r="J57" s="43">
        <v>5.6446999999999994</v>
      </c>
    </row>
    <row r="58" spans="5:10">
      <c r="E58"/>
    </row>
    <row r="59" spans="5:10">
      <c r="E59"/>
    </row>
    <row r="63" spans="5:10" ht="15" customHeight="1"/>
    <row r="64" spans="5:10" ht="12" customHeight="1"/>
    <row r="65" spans="4:5" ht="12" customHeight="1"/>
    <row r="66" spans="4:5" ht="12" customHeight="1"/>
    <row r="67" spans="4:5" ht="12" customHeight="1"/>
    <row r="69" spans="4:5" ht="66.75" customHeight="1">
      <c r="D69" s="44" t="s">
        <v>1</v>
      </c>
      <c r="E69" s="45" t="s">
        <v>410</v>
      </c>
    </row>
    <row r="70" spans="4:5" ht="72">
      <c r="D70" s="46" t="s">
        <v>27</v>
      </c>
      <c r="E70" s="47" t="s">
        <v>411</v>
      </c>
    </row>
    <row r="71" spans="4:5" ht="72">
      <c r="D71" s="46" t="s">
        <v>14</v>
      </c>
      <c r="E71" s="47" t="s">
        <v>412</v>
      </c>
    </row>
    <row r="72" spans="4:5" ht="72">
      <c r="D72" s="46" t="s">
        <v>25</v>
      </c>
      <c r="E72" s="47" t="s">
        <v>413</v>
      </c>
    </row>
    <row r="73" spans="4:5" ht="54">
      <c r="D73" s="46" t="s">
        <v>34</v>
      </c>
      <c r="E73" s="47" t="s">
        <v>414</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BE98A-BC66-427B-AC17-13E128AEFEB7}">
  <dimension ref="A1:D120"/>
  <sheetViews>
    <sheetView topLeftCell="A113" zoomScale="97" zoomScaleNormal="91" workbookViewId="0">
      <selection activeCell="D95" sqref="D95"/>
    </sheetView>
  </sheetViews>
  <sheetFormatPr defaultRowHeight="14.25"/>
  <cols>
    <col min="1" max="1" width="14.875" bestFit="1" customWidth="1"/>
    <col min="2" max="2" width="31" bestFit="1" customWidth="1"/>
    <col min="3" max="3" width="18.75" bestFit="1" customWidth="1"/>
    <col min="4" max="4" width="18.5" bestFit="1" customWidth="1"/>
  </cols>
  <sheetData>
    <row r="1" spans="1:2" ht="10.5" customHeight="1"/>
    <row r="2" spans="1:2" ht="10.5" customHeight="1"/>
    <row r="3" spans="1:2" ht="10.5" customHeight="1"/>
    <row r="4" spans="1:2" ht="10.5" customHeight="1"/>
    <row r="5" spans="1:2" ht="10.5" customHeight="1"/>
    <row r="6" spans="1:2" ht="23.25" customHeight="1">
      <c r="A6" s="19" t="s">
        <v>389</v>
      </c>
      <c r="B6" t="s">
        <v>415</v>
      </c>
    </row>
    <row r="7" spans="1:2" ht="23.25" customHeight="1">
      <c r="A7" s="20" t="s">
        <v>52</v>
      </c>
      <c r="B7">
        <v>80</v>
      </c>
    </row>
    <row r="8" spans="1:2" ht="23.25" customHeight="1">
      <c r="A8" s="20" t="s">
        <v>22</v>
      </c>
      <c r="B8">
        <v>83</v>
      </c>
    </row>
    <row r="9" spans="1:2" ht="23.25" customHeight="1">
      <c r="A9" s="20" t="s">
        <v>17</v>
      </c>
      <c r="B9">
        <v>97</v>
      </c>
    </row>
    <row r="10" spans="1:2" ht="23.25" customHeight="1">
      <c r="A10" s="20" t="s">
        <v>37</v>
      </c>
      <c r="B10">
        <v>92</v>
      </c>
    </row>
    <row r="11" spans="1:2" ht="23.25" customHeight="1">
      <c r="A11" s="20" t="s">
        <v>31</v>
      </c>
      <c r="B11">
        <v>104</v>
      </c>
    </row>
    <row r="12" spans="1:2" ht="23.25" customHeight="1">
      <c r="A12" s="20" t="s">
        <v>390</v>
      </c>
      <c r="B12">
        <v>456</v>
      </c>
    </row>
    <row r="26" spans="1:4" ht="11.25" customHeight="1"/>
    <row r="27" spans="1:4" ht="11.25" customHeight="1"/>
    <row r="28" spans="1:4" ht="11.25" customHeight="1"/>
    <row r="29" spans="1:4" ht="11.25" customHeight="1"/>
    <row r="30" spans="1:4" ht="11.25" customHeight="1"/>
    <row r="32" spans="1:4">
      <c r="A32" s="19" t="s">
        <v>389</v>
      </c>
      <c r="B32" s="19" t="s">
        <v>395</v>
      </c>
      <c r="C32" t="s">
        <v>394</v>
      </c>
      <c r="D32" t="s">
        <v>399</v>
      </c>
    </row>
    <row r="33" spans="1:4">
      <c r="A33" s="20" t="s">
        <v>52</v>
      </c>
      <c r="B33">
        <v>34086.8125</v>
      </c>
      <c r="C33">
        <v>152.57499999999999</v>
      </c>
      <c r="D33">
        <v>13.661000000000001</v>
      </c>
    </row>
    <row r="34" spans="1:4">
      <c r="A34" s="20" t="s">
        <v>22</v>
      </c>
      <c r="B34">
        <v>33520.277108433736</v>
      </c>
      <c r="C34">
        <v>140.96385542168676</v>
      </c>
      <c r="D34">
        <v>14.54963855421687</v>
      </c>
    </row>
    <row r="35" spans="1:4">
      <c r="A35" s="20" t="s">
        <v>17</v>
      </c>
      <c r="B35">
        <v>32666.030927835051</v>
      </c>
      <c r="C35">
        <v>149.70103092783506</v>
      </c>
      <c r="D35">
        <v>14.917422680412367</v>
      </c>
    </row>
    <row r="36" spans="1:4">
      <c r="A36" s="20" t="s">
        <v>37</v>
      </c>
      <c r="B36">
        <v>35209.07608695652</v>
      </c>
      <c r="C36">
        <v>165.27173913043478</v>
      </c>
      <c r="D36">
        <v>14.353695652173915</v>
      </c>
    </row>
    <row r="37" spans="1:4">
      <c r="A37" s="20" t="s">
        <v>31</v>
      </c>
      <c r="B37">
        <v>34492.471153846156</v>
      </c>
      <c r="C37">
        <v>146.16346153846155</v>
      </c>
      <c r="D37">
        <v>15.618557692307689</v>
      </c>
    </row>
    <row r="38" spans="1:4">
      <c r="A38" s="20" t="s">
        <v>390</v>
      </c>
      <c r="B38">
        <v>34000.405701754389</v>
      </c>
      <c r="C38">
        <v>150.94956140350877</v>
      </c>
      <c r="D38">
        <v>14.676228070175444</v>
      </c>
    </row>
    <row r="66" spans="1:4" ht="11.25" customHeight="1"/>
    <row r="67" spans="1:4" ht="11.25" customHeight="1"/>
    <row r="68" spans="1:4" ht="11.25" customHeight="1"/>
    <row r="72" spans="1:4" ht="15">
      <c r="A72" s="23" t="s">
        <v>389</v>
      </c>
      <c r="B72" s="27" t="s">
        <v>399</v>
      </c>
      <c r="C72" s="27" t="s">
        <v>395</v>
      </c>
      <c r="D72" s="27" t="s">
        <v>394</v>
      </c>
    </row>
    <row r="73" spans="1:4" ht="21" customHeight="1">
      <c r="A73" s="20" t="s">
        <v>35</v>
      </c>
      <c r="B73" s="22">
        <v>14.81525423728813</v>
      </c>
      <c r="C73" s="22">
        <v>35335.91525423729</v>
      </c>
      <c r="D73" s="22">
        <v>156.81355932203391</v>
      </c>
    </row>
    <row r="74" spans="1:4" ht="21" customHeight="1">
      <c r="A74" s="20" t="s">
        <v>40</v>
      </c>
      <c r="B74" s="22">
        <v>13.687460317460323</v>
      </c>
      <c r="C74" s="22">
        <v>35303.238095238092</v>
      </c>
      <c r="D74" s="22">
        <v>163.5873015873016</v>
      </c>
    </row>
    <row r="75" spans="1:4" ht="21" customHeight="1">
      <c r="A75" s="20" t="s">
        <v>15</v>
      </c>
      <c r="B75" s="22">
        <v>15.615531914893616</v>
      </c>
      <c r="C75" s="22">
        <v>34693.48936170213</v>
      </c>
      <c r="D75" s="22">
        <v>152.65957446808511</v>
      </c>
    </row>
    <row r="76" spans="1:4" ht="21" customHeight="1">
      <c r="A76" s="20" t="s">
        <v>28</v>
      </c>
      <c r="B76" s="22">
        <v>18.42608695652174</v>
      </c>
      <c r="C76" s="22">
        <v>31639.543478260868</v>
      </c>
      <c r="D76" s="22">
        <v>131.69565217391303</v>
      </c>
    </row>
    <row r="77" spans="1:4" ht="21" customHeight="1">
      <c r="A77" s="20" t="s">
        <v>20</v>
      </c>
      <c r="B77" s="22">
        <v>11.750714285714285</v>
      </c>
      <c r="C77" s="22">
        <v>34686.214285714283</v>
      </c>
      <c r="D77" s="22">
        <v>163.4047619047619</v>
      </c>
    </row>
    <row r="78" spans="1:4" ht="21" customHeight="1">
      <c r="A78" s="20" t="s">
        <v>50</v>
      </c>
      <c r="B78" s="22">
        <v>14.815581395348842</v>
      </c>
      <c r="C78" s="22">
        <v>32089.906976744187</v>
      </c>
      <c r="D78" s="22">
        <v>132.83720930232559</v>
      </c>
    </row>
    <row r="79" spans="1:4" ht="21" customHeight="1">
      <c r="A79" s="20" t="s">
        <v>390</v>
      </c>
      <c r="B79" s="22">
        <v>14.828466666666655</v>
      </c>
      <c r="C79" s="22">
        <v>34105.410000000003</v>
      </c>
      <c r="D79" s="22">
        <v>151.22</v>
      </c>
    </row>
    <row r="115" spans="1:4" ht="15">
      <c r="A115" s="23" t="s">
        <v>389</v>
      </c>
      <c r="B115" s="24" t="s">
        <v>399</v>
      </c>
      <c r="C115" s="24" t="s">
        <v>395</v>
      </c>
      <c r="D115" s="24" t="s">
        <v>394</v>
      </c>
    </row>
    <row r="116" spans="1:4" ht="15">
      <c r="A116" s="25" t="s">
        <v>34</v>
      </c>
      <c r="B116" s="78">
        <v>12.110000000000003</v>
      </c>
      <c r="C116" s="78">
        <v>37871.142857142855</v>
      </c>
      <c r="D116" s="78">
        <v>173.85714285714286</v>
      </c>
    </row>
    <row r="117" spans="1:4" ht="15">
      <c r="A117" s="25" t="s">
        <v>27</v>
      </c>
      <c r="B117" s="78">
        <v>14.957499999999998</v>
      </c>
      <c r="C117" s="78">
        <v>28856.821428571428</v>
      </c>
      <c r="D117" s="78">
        <v>148.71428571428572</v>
      </c>
    </row>
    <row r="118" spans="1:4" ht="15">
      <c r="A118" s="25" t="s">
        <v>14</v>
      </c>
      <c r="B118" s="78">
        <v>15.401599999999997</v>
      </c>
      <c r="C118" s="78">
        <v>35970.959999999999</v>
      </c>
      <c r="D118" s="78">
        <v>135.76</v>
      </c>
    </row>
    <row r="119" spans="1:4" ht="15">
      <c r="A119" s="25" t="s">
        <v>25</v>
      </c>
      <c r="B119" s="78">
        <v>18.12222222222222</v>
      </c>
      <c r="C119" s="78">
        <v>36370.388888888891</v>
      </c>
      <c r="D119" s="78">
        <v>166.5</v>
      </c>
    </row>
    <row r="120" spans="1:4" ht="15">
      <c r="A120" s="25" t="s">
        <v>390</v>
      </c>
      <c r="B120" s="78">
        <v>15.047391304347823</v>
      </c>
      <c r="C120" s="78">
        <v>34317.67391304348</v>
      </c>
      <c r="D120" s="78">
        <v>154.41304347826087</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6AD50-9D49-476F-A5E8-760C840F8DA2}">
  <dimension ref="A2:G62"/>
  <sheetViews>
    <sheetView topLeftCell="A44" zoomScale="87" workbookViewId="0">
      <selection activeCell="F52" sqref="F52"/>
    </sheetView>
  </sheetViews>
  <sheetFormatPr defaultRowHeight="14.25"/>
  <cols>
    <col min="1" max="1" width="18.625" bestFit="1" customWidth="1"/>
    <col min="2" max="2" width="12.75" bestFit="1" customWidth="1"/>
    <col min="3" max="3" width="30.75" bestFit="1" customWidth="1"/>
    <col min="4" max="4" width="28.75" bestFit="1" customWidth="1"/>
    <col min="5" max="5" width="20.625" bestFit="1" customWidth="1"/>
    <col min="6" max="6" width="22.75" customWidth="1"/>
    <col min="7" max="7" width="34" customWidth="1"/>
    <col min="8" max="8" width="18" bestFit="1" customWidth="1"/>
    <col min="9" max="9" width="15.625" bestFit="1" customWidth="1"/>
    <col min="10" max="10" width="17.625" bestFit="1" customWidth="1"/>
    <col min="11" max="11" width="16.25" bestFit="1" customWidth="1"/>
    <col min="12" max="12" width="18" bestFit="1" customWidth="1"/>
    <col min="13" max="13" width="15.625" bestFit="1" customWidth="1"/>
    <col min="14" max="14" width="17.75" bestFit="1" customWidth="1"/>
    <col min="15" max="15" width="19.5" bestFit="1" customWidth="1"/>
    <col min="16" max="16" width="22.875" bestFit="1" customWidth="1"/>
  </cols>
  <sheetData>
    <row r="2" spans="1:6" ht="10.5" customHeight="1"/>
    <row r="5" spans="1:6" ht="26.25" customHeight="1">
      <c r="A5" s="19" t="s">
        <v>389</v>
      </c>
      <c r="B5" s="22" t="s">
        <v>416</v>
      </c>
      <c r="C5" t="s">
        <v>393</v>
      </c>
      <c r="D5" t="s">
        <v>392</v>
      </c>
      <c r="E5" s="22" t="s">
        <v>391</v>
      </c>
      <c r="F5" s="22" t="s">
        <v>420</v>
      </c>
    </row>
    <row r="6" spans="1:6" ht="18" customHeight="1">
      <c r="A6" s="20" t="s">
        <v>23</v>
      </c>
      <c r="B6" s="57">
        <v>2886292</v>
      </c>
      <c r="C6" s="57">
        <v>21636</v>
      </c>
      <c r="D6" s="57">
        <v>41353</v>
      </c>
      <c r="E6" s="57">
        <v>232785</v>
      </c>
      <c r="F6" s="57">
        <v>12376</v>
      </c>
    </row>
    <row r="7" spans="1:6" ht="18" customHeight="1">
      <c r="A7" s="20" t="s">
        <v>18</v>
      </c>
      <c r="B7" s="57">
        <v>2788367</v>
      </c>
      <c r="C7" s="57">
        <v>18692</v>
      </c>
      <c r="D7" s="57">
        <v>33921</v>
      </c>
      <c r="E7" s="57">
        <v>212431</v>
      </c>
      <c r="F7" s="57">
        <v>11191</v>
      </c>
    </row>
    <row r="8" spans="1:6" ht="18" customHeight="1">
      <c r="A8" s="20" t="s">
        <v>32</v>
      </c>
      <c r="B8" s="57">
        <v>2611652</v>
      </c>
      <c r="C8" s="57">
        <v>18550</v>
      </c>
      <c r="D8" s="57">
        <v>39123</v>
      </c>
      <c r="E8" s="57">
        <v>198666</v>
      </c>
      <c r="F8" s="57">
        <v>12464</v>
      </c>
    </row>
    <row r="9" spans="1:6" ht="18" customHeight="1">
      <c r="A9" s="20" t="s">
        <v>44</v>
      </c>
      <c r="B9" s="57">
        <v>2107842</v>
      </c>
      <c r="C9" s="57">
        <v>15973</v>
      </c>
      <c r="D9" s="57">
        <v>28528</v>
      </c>
      <c r="E9" s="57">
        <v>176109</v>
      </c>
      <c r="F9" s="57">
        <v>9335</v>
      </c>
    </row>
    <row r="10" spans="1:6" ht="23.25" customHeight="1">
      <c r="A10" s="20" t="s">
        <v>390</v>
      </c>
      <c r="B10" s="57">
        <v>10394153</v>
      </c>
      <c r="C10" s="57">
        <v>74851</v>
      </c>
      <c r="D10" s="57">
        <v>142925</v>
      </c>
      <c r="E10" s="57">
        <v>819991</v>
      </c>
      <c r="F10" s="57">
        <v>45366</v>
      </c>
    </row>
    <row r="15" spans="1:6" ht="21.75" customHeight="1">
      <c r="A15" s="19" t="s">
        <v>389</v>
      </c>
      <c r="B15" s="22" t="s">
        <v>421</v>
      </c>
      <c r="C15" t="s">
        <v>433</v>
      </c>
      <c r="D15" s="22" t="s">
        <v>422</v>
      </c>
      <c r="E15" s="22" t="s">
        <v>394</v>
      </c>
      <c r="F15" t="s">
        <v>432</v>
      </c>
    </row>
    <row r="16" spans="1:6" ht="22.5" customHeight="1">
      <c r="A16" s="20" t="s">
        <v>23</v>
      </c>
      <c r="B16" s="43">
        <v>34774.602409638552</v>
      </c>
      <c r="C16" s="43">
        <v>260.67469879518075</v>
      </c>
      <c r="D16" s="43">
        <v>2804.6385542168673</v>
      </c>
      <c r="E16" s="43">
        <v>149.10843373493975</v>
      </c>
      <c r="F16" s="43">
        <v>498.22891566265059</v>
      </c>
    </row>
    <row r="17" spans="1:7" ht="22.5" customHeight="1">
      <c r="A17" s="20" t="s">
        <v>18</v>
      </c>
      <c r="B17" s="43">
        <v>38727.319444444445</v>
      </c>
      <c r="C17" s="43">
        <v>259.61111111111109</v>
      </c>
      <c r="D17" s="43">
        <v>2950.4305555555557</v>
      </c>
      <c r="E17" s="43">
        <v>155.43055555555554</v>
      </c>
      <c r="F17" s="43">
        <v>471.125</v>
      </c>
    </row>
    <row r="18" spans="1:7" ht="22.5" customHeight="1">
      <c r="A18" s="20" t="s">
        <v>32</v>
      </c>
      <c r="B18" s="43">
        <v>33482.717948717946</v>
      </c>
      <c r="C18" s="43">
        <v>237.82051282051282</v>
      </c>
      <c r="D18" s="43">
        <v>2547</v>
      </c>
      <c r="E18" s="43">
        <v>159.7948717948718</v>
      </c>
      <c r="F18" s="43">
        <v>501.57692307692309</v>
      </c>
    </row>
    <row r="19" spans="1:7" ht="22.5" customHeight="1">
      <c r="A19" s="20" t="s">
        <v>44</v>
      </c>
      <c r="B19" s="43">
        <v>31460.328358208953</v>
      </c>
      <c r="C19" s="43">
        <v>238.40298507462686</v>
      </c>
      <c r="D19" s="43">
        <v>2628.4925373134329</v>
      </c>
      <c r="E19" s="43">
        <v>139.32835820895522</v>
      </c>
      <c r="F19" s="43">
        <v>425.79104477611941</v>
      </c>
    </row>
    <row r="20" spans="1:7" ht="21" customHeight="1">
      <c r="A20" s="20" t="s">
        <v>390</v>
      </c>
      <c r="B20" s="43">
        <v>34647.176666666666</v>
      </c>
      <c r="C20" s="43">
        <v>249.50333333333333</v>
      </c>
      <c r="D20" s="43">
        <v>2733.3033333333333</v>
      </c>
      <c r="E20" s="43">
        <v>151.22</v>
      </c>
      <c r="F20" s="43">
        <v>476.41666666666669</v>
      </c>
    </row>
    <row r="26" spans="1:7" ht="0.75" customHeight="1"/>
    <row r="27" spans="1:7">
      <c r="A27" s="19" t="s">
        <v>424</v>
      </c>
      <c r="B27" t="s">
        <v>391</v>
      </c>
      <c r="C27" t="s">
        <v>392</v>
      </c>
      <c r="D27" t="s">
        <v>393</v>
      </c>
    </row>
    <row r="28" spans="1:7" ht="25.5" customHeight="1">
      <c r="A28" s="20" t="s">
        <v>417</v>
      </c>
      <c r="B28" s="35">
        <v>56039</v>
      </c>
      <c r="C28" s="35">
        <v>8709</v>
      </c>
      <c r="D28" s="35">
        <v>5313</v>
      </c>
    </row>
    <row r="29" spans="1:7" ht="25.5" customHeight="1">
      <c r="A29" s="20" t="s">
        <v>419</v>
      </c>
      <c r="B29" s="35">
        <v>106370</v>
      </c>
      <c r="C29" s="35">
        <v>18279</v>
      </c>
      <c r="D29" s="35">
        <v>9184</v>
      </c>
    </row>
    <row r="30" spans="1:7" ht="25.5" customHeight="1">
      <c r="A30" s="20" t="s">
        <v>418</v>
      </c>
      <c r="B30" s="35">
        <v>13700</v>
      </c>
      <c r="C30" s="35">
        <v>1540</v>
      </c>
      <c r="D30" s="35">
        <v>1476</v>
      </c>
    </row>
    <row r="31" spans="1:7" ht="25.5" customHeight="1">
      <c r="A31" s="20" t="s">
        <v>390</v>
      </c>
      <c r="B31" s="35">
        <v>176109</v>
      </c>
      <c r="C31" s="35">
        <v>28528</v>
      </c>
      <c r="D31" s="35">
        <v>15973</v>
      </c>
    </row>
    <row r="32" spans="1:7" ht="17.25" customHeight="1">
      <c r="G32" s="75" t="s">
        <v>450</v>
      </c>
    </row>
    <row r="33" spans="1:7" ht="70.5" customHeight="1">
      <c r="A33" s="59" t="s">
        <v>434</v>
      </c>
      <c r="B33" s="60" t="s">
        <v>435</v>
      </c>
      <c r="C33" s="60" t="s">
        <v>436</v>
      </c>
      <c r="D33" s="61" t="s">
        <v>437</v>
      </c>
      <c r="G33" s="74" t="s">
        <v>449</v>
      </c>
    </row>
    <row r="34" spans="1:7" ht="51" customHeight="1">
      <c r="A34" s="58">
        <f>GETPIVOTDATA("Sum of Likes",$A$27,"Custom","Before Campaign")+GETPIVOTDATA("Sum of Shares",$A$27,"Custom","Before Campaign")+GETPIVOTDATA("Sum of Comments",$A$27,"Custom","Before Campaign")</f>
        <v>133833</v>
      </c>
      <c r="B34" s="58">
        <f>GETPIVOTDATA("Sum of Likes",$A$27,"Custom","During Campaign")+GETPIVOTDATA("Sum of Shares",$A$27,"Custom","During Campaign")+GETPIVOTDATA("Sum of Comments",$A$27,"Custom","During Campaign")</f>
        <v>16716</v>
      </c>
      <c r="C34" s="58">
        <f>GETPIVOTDATA("Sum of Likes",$A$27,"Custom","After Campaign")+GETPIVOTDATA("Sum of Shares",$A$27,"Custom","After Campaign")+GETPIVOTDATA("Sum of Comments",$A$27,"Custom","After Campaign")</f>
        <v>70061</v>
      </c>
      <c r="D34" s="58">
        <f>((B34-A34)/A34)*100</f>
        <v>-87.509806998273959</v>
      </c>
    </row>
    <row r="35" spans="1:7" ht="8.25" hidden="1" customHeight="1">
      <c r="A35" s="20"/>
      <c r="B35" s="20"/>
      <c r="C35" s="20"/>
      <c r="D35" s="20"/>
      <c r="E35" s="62"/>
    </row>
    <row r="36" spans="1:7" ht="8.25" hidden="1" customHeight="1">
      <c r="A36" s="20"/>
      <c r="B36" s="20"/>
      <c r="C36" s="20"/>
      <c r="D36" s="20"/>
    </row>
    <row r="37" spans="1:7" ht="42.75" customHeight="1">
      <c r="A37" s="20"/>
      <c r="B37" s="20"/>
      <c r="C37" s="20"/>
      <c r="D37" s="20"/>
    </row>
    <row r="38" spans="1:7" ht="7.5" customHeight="1">
      <c r="A38" s="20"/>
      <c r="B38" s="20"/>
      <c r="C38" s="20"/>
      <c r="D38" s="20"/>
    </row>
    <row r="39" spans="1:7" ht="7.5" customHeight="1">
      <c r="A39" s="20"/>
      <c r="B39" s="35"/>
    </row>
    <row r="40" spans="1:7" ht="7.5" customHeight="1">
      <c r="A40" s="20"/>
      <c r="B40" s="35"/>
    </row>
    <row r="41" spans="1:7" ht="7.5" customHeight="1"/>
    <row r="42" spans="1:7" ht="7.5" customHeight="1"/>
    <row r="43" spans="1:7" ht="15">
      <c r="A43" s="48" t="s">
        <v>438</v>
      </c>
    </row>
    <row r="44" spans="1:7" ht="18">
      <c r="A44" s="50">
        <v>4832916</v>
      </c>
      <c r="E44" s="51"/>
    </row>
    <row r="45" spans="1:7" ht="21.75" customHeight="1">
      <c r="A45" s="64" t="s">
        <v>445</v>
      </c>
      <c r="B45" s="65" t="s">
        <v>446</v>
      </c>
      <c r="C45" s="65" t="s">
        <v>447</v>
      </c>
      <c r="D45" s="66" t="s">
        <v>448</v>
      </c>
      <c r="E45" s="53"/>
    </row>
    <row r="46" spans="1:7" ht="24.75" customHeight="1">
      <c r="A46" s="69" t="s">
        <v>440</v>
      </c>
      <c r="B46" s="70" t="s">
        <v>441</v>
      </c>
      <c r="C46" s="76" t="s">
        <v>451</v>
      </c>
      <c r="D46" s="71" t="s">
        <v>442</v>
      </c>
      <c r="E46" s="52"/>
    </row>
    <row r="47" spans="1:7" ht="24.75" customHeight="1">
      <c r="A47" s="63" t="s">
        <v>443</v>
      </c>
      <c r="B47" s="3">
        <v>180000</v>
      </c>
      <c r="C47" s="3">
        <v>20185</v>
      </c>
      <c r="D47" s="72">
        <f>Table10[[#This Row],[Column3]]/Table10[[#This Row],[Column2]]</f>
        <v>0.11213888888888889</v>
      </c>
    </row>
    <row r="48" spans="1:7" ht="24.75" customHeight="1">
      <c r="A48" s="63" t="s">
        <v>18</v>
      </c>
      <c r="B48" s="3">
        <v>160000</v>
      </c>
      <c r="C48" s="3">
        <v>29029</v>
      </c>
      <c r="D48" s="72">
        <f>Table10[[#This Row],[Column3]]/Table10[[#This Row],[Column2]]</f>
        <v>0.18143124999999999</v>
      </c>
    </row>
    <row r="49" spans="1:4" ht="24.75" customHeight="1">
      <c r="A49" s="63" t="s">
        <v>32</v>
      </c>
      <c r="B49" s="3">
        <v>220000</v>
      </c>
      <c r="C49" s="3">
        <v>25499</v>
      </c>
      <c r="D49" s="72">
        <f>Table10[[#This Row],[Column3]]/Table10[[#This Row],[Column2]]</f>
        <v>0.11590454545454545</v>
      </c>
    </row>
    <row r="50" spans="1:4" ht="15.75" customHeight="1">
      <c r="A50" s="67" t="s">
        <v>444</v>
      </c>
      <c r="B50" s="68">
        <v>200000</v>
      </c>
      <c r="C50" s="68">
        <v>16716</v>
      </c>
      <c r="D50" s="73">
        <f>Table10[[#This Row],[Column3]]/Table10[[#This Row],[Column2]]</f>
        <v>8.3580000000000002E-2</v>
      </c>
    </row>
    <row r="51" spans="1:4" ht="15.75" customHeight="1">
      <c r="A51" s="49"/>
      <c r="B51" s="50"/>
      <c r="C51" s="50"/>
    </row>
    <row r="52" spans="1:4" ht="15.75" customHeight="1"/>
    <row r="56" spans="1:4" ht="26.25" customHeight="1">
      <c r="A56" s="19" t="s">
        <v>389</v>
      </c>
      <c r="B56" t="s">
        <v>409</v>
      </c>
    </row>
    <row r="57" spans="1:4" ht="21.75" customHeight="1">
      <c r="A57" s="20" t="s">
        <v>23</v>
      </c>
      <c r="B57" s="35">
        <v>0.79857710564362538</v>
      </c>
    </row>
    <row r="58" spans="1:4" ht="21.75" customHeight="1">
      <c r="A58" s="20" t="s">
        <v>18</v>
      </c>
      <c r="B58" s="35">
        <v>0.28457350504812701</v>
      </c>
    </row>
    <row r="59" spans="1:4" ht="21.75" customHeight="1">
      <c r="A59" s="20" t="s">
        <v>32</v>
      </c>
      <c r="B59" s="35">
        <v>0.46940715515913628</v>
      </c>
    </row>
    <row r="60" spans="1:4" ht="21.75" customHeight="1">
      <c r="A60" s="20" t="s">
        <v>426</v>
      </c>
      <c r="B60" s="35">
        <v>0.84528528258166102</v>
      </c>
    </row>
    <row r="61" spans="1:4" ht="21.75" customHeight="1">
      <c r="A61" s="20" t="s">
        <v>44</v>
      </c>
      <c r="B61" s="35">
        <v>0.63640032720228146</v>
      </c>
    </row>
    <row r="62" spans="1:4" ht="22.5" customHeight="1">
      <c r="A62" s="20" t="s">
        <v>390</v>
      </c>
      <c r="B62" s="35">
        <v>0.73821537794374503</v>
      </c>
    </row>
  </sheetData>
  <pageMargins left="0.7" right="0.7" top="0.75" bottom="0.75" header="0.3" footer="0.3"/>
  <pageSetup orientation="portrait" r:id="rId6"/>
  <drawing r:id="rId7"/>
  <tableParts count="1">
    <tablePart r:id="rId8"/>
  </tableParts>
  <extLst>
    <ext xmlns:x14="http://schemas.microsoft.com/office/spreadsheetml/2009/9/main" uri="{A8765BA9-456A-4dab-B4F3-ACF838C121DE}">
      <x14:slicerList>
        <x14:slicer r:id="rId9"/>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8CC09-A8E7-4DBA-B633-7FE179DA4C73}">
  <dimension ref="A5:F193"/>
  <sheetViews>
    <sheetView topLeftCell="A204" zoomScale="94" zoomScaleNormal="55" workbookViewId="0">
      <selection activeCell="M81" sqref="M81"/>
    </sheetView>
  </sheetViews>
  <sheetFormatPr defaultRowHeight="14.25"/>
  <cols>
    <col min="1" max="1" width="31.5" bestFit="1" customWidth="1"/>
    <col min="2" max="2" width="16.125" bestFit="1" customWidth="1"/>
    <col min="3" max="3" width="9.625" bestFit="1" customWidth="1"/>
    <col min="4" max="4" width="7.125" bestFit="1" customWidth="1"/>
    <col min="5" max="5" width="9" bestFit="1" customWidth="1"/>
    <col min="6" max="6" width="11.375" bestFit="1" customWidth="1"/>
  </cols>
  <sheetData>
    <row r="5" spans="1:6">
      <c r="A5" s="19" t="s">
        <v>409</v>
      </c>
      <c r="B5" s="19" t="s">
        <v>427</v>
      </c>
    </row>
    <row r="6" spans="1:6">
      <c r="A6" s="19" t="s">
        <v>389</v>
      </c>
      <c r="B6" s="22" t="s">
        <v>34</v>
      </c>
      <c r="C6" s="22" t="s">
        <v>27</v>
      </c>
      <c r="D6" s="22" t="s">
        <v>14</v>
      </c>
      <c r="E6" s="22" t="s">
        <v>25</v>
      </c>
      <c r="F6" s="22" t="s">
        <v>390</v>
      </c>
    </row>
    <row r="7" spans="1:6">
      <c r="A7" s="54">
        <v>45446</v>
      </c>
      <c r="B7" s="43">
        <v>2.3491348994232664</v>
      </c>
      <c r="C7" s="43">
        <v>0.30428616268120573</v>
      </c>
      <c r="D7" s="43">
        <v>0.28263208793603661</v>
      </c>
      <c r="E7" s="43">
        <v>0.27557542170624166</v>
      </c>
      <c r="F7" s="43">
        <v>0.80290714293668763</v>
      </c>
    </row>
    <row r="8" spans="1:6">
      <c r="A8" s="54">
        <v>45453</v>
      </c>
      <c r="B8" s="43">
        <v>0.40530081660374973</v>
      </c>
      <c r="C8" s="43">
        <v>1.0517322049758935</v>
      </c>
      <c r="D8" s="43">
        <v>7.3128442639386351E-2</v>
      </c>
      <c r="E8" s="43">
        <v>0.24016739232334167</v>
      </c>
      <c r="F8" s="43">
        <v>0.44258221413559279</v>
      </c>
    </row>
    <row r="9" spans="1:6">
      <c r="A9" s="54">
        <v>45460</v>
      </c>
      <c r="B9" s="43">
        <v>0.8153584745362723</v>
      </c>
      <c r="C9" s="43">
        <v>0.19542790614208244</v>
      </c>
      <c r="D9" s="43">
        <v>1.0551445425805821</v>
      </c>
      <c r="E9" s="43">
        <v>8.8023800381871797E-2</v>
      </c>
      <c r="F9" s="43">
        <v>0.53848868091020208</v>
      </c>
    </row>
    <row r="10" spans="1:6">
      <c r="A10" s="54">
        <v>45467</v>
      </c>
      <c r="B10" s="43">
        <v>6.3510173036698996</v>
      </c>
      <c r="C10" s="43">
        <v>1.7636832660385824</v>
      </c>
      <c r="D10" s="43">
        <v>0.27980604582117208</v>
      </c>
      <c r="E10" s="43">
        <v>-2.8860773750305036E-2</v>
      </c>
      <c r="F10" s="43">
        <v>2.0914114604448373</v>
      </c>
    </row>
    <row r="11" spans="1:6">
      <c r="A11" s="54">
        <v>45474</v>
      </c>
      <c r="B11" s="43">
        <v>2.9088264703208796E-2</v>
      </c>
      <c r="C11" s="43">
        <v>-5.2211602419375981E-2</v>
      </c>
      <c r="D11" s="43">
        <v>0.4303769366169265</v>
      </c>
      <c r="E11" s="43">
        <v>8.0050669434719113E-2</v>
      </c>
      <c r="F11" s="43">
        <v>0.1218260670838696</v>
      </c>
    </row>
    <row r="12" spans="1:6">
      <c r="A12" s="54">
        <v>45481</v>
      </c>
      <c r="B12" s="43">
        <v>0.12276812319721568</v>
      </c>
      <c r="C12" s="43">
        <v>2.8717173625543171</v>
      </c>
      <c r="D12" s="43">
        <v>0.140324773607655</v>
      </c>
      <c r="E12" s="43">
        <v>0.21994574101175038</v>
      </c>
      <c r="F12" s="43">
        <v>0.8386890000927345</v>
      </c>
    </row>
    <row r="13" spans="1:6">
      <c r="A13" s="54">
        <v>45488</v>
      </c>
      <c r="B13" s="43">
        <v>-4.9009939454794309E-2</v>
      </c>
      <c r="C13" s="43">
        <v>1.1967386439556591</v>
      </c>
      <c r="D13" s="43">
        <v>0.18982132901478749</v>
      </c>
      <c r="E13" s="43">
        <v>0.10211701333265255</v>
      </c>
      <c r="F13" s="43">
        <v>0.35991676171207621</v>
      </c>
    </row>
    <row r="14" spans="1:6">
      <c r="A14" s="54">
        <v>45495</v>
      </c>
      <c r="B14" s="43">
        <v>0.32572737872501967</v>
      </c>
      <c r="C14" s="43">
        <v>3.3557613568250697E-2</v>
      </c>
      <c r="D14" s="43">
        <v>0.66371458255580551</v>
      </c>
      <c r="E14" s="43">
        <v>0.10340418313957282</v>
      </c>
      <c r="F14" s="43">
        <v>0.28160093949716219</v>
      </c>
    </row>
    <row r="15" spans="1:6">
      <c r="A15" s="54">
        <v>45502</v>
      </c>
      <c r="B15" s="43">
        <v>-7.309773488968678E-2</v>
      </c>
      <c r="C15" s="43">
        <v>2.2861730899256254</v>
      </c>
      <c r="D15" s="43">
        <v>0.51986619096302167</v>
      </c>
      <c r="E15" s="43">
        <v>0.76001216019456308</v>
      </c>
      <c r="F15" s="43">
        <v>0.87323842654838091</v>
      </c>
    </row>
    <row r="16" spans="1:6">
      <c r="A16" s="54">
        <v>45509</v>
      </c>
      <c r="B16" s="43">
        <v>-0.15755714445670779</v>
      </c>
      <c r="C16" s="43">
        <v>8.0371168669857163E-2</v>
      </c>
      <c r="D16" s="43">
        <v>7.2889860753698937E-2</v>
      </c>
      <c r="E16" s="43">
        <v>9.9485420240137221E-2</v>
      </c>
      <c r="F16" s="43">
        <v>2.3797326301746382E-2</v>
      </c>
    </row>
    <row r="17" spans="1:6">
      <c r="A17" s="54">
        <v>45516</v>
      </c>
      <c r="B17" s="43">
        <v>0.43366318609156984</v>
      </c>
      <c r="C17" s="43">
        <v>0.27085701202809553</v>
      </c>
      <c r="D17" s="43">
        <v>8.5080354946042956E-3</v>
      </c>
      <c r="E17" s="43">
        <v>1.011348268360087</v>
      </c>
      <c r="F17" s="43">
        <v>0.43109412549358916</v>
      </c>
    </row>
    <row r="18" spans="1:6">
      <c r="A18" s="54">
        <v>45523</v>
      </c>
      <c r="B18" s="43">
        <v>0.57523759813836151</v>
      </c>
      <c r="C18" s="43">
        <v>2.335271198731579E-2</v>
      </c>
      <c r="D18" s="43">
        <v>0.88256340939810773</v>
      </c>
      <c r="E18" s="43">
        <v>0.21728440241071326</v>
      </c>
      <c r="F18" s="43">
        <v>0.42460953048362454</v>
      </c>
    </row>
    <row r="19" spans="1:6">
      <c r="A19" s="54">
        <v>45530</v>
      </c>
      <c r="B19" s="43">
        <v>9.7527544941747053E-3</v>
      </c>
      <c r="C19" s="43">
        <v>0.35456226214689768</v>
      </c>
      <c r="D19" s="43">
        <v>0.65914381026955704</v>
      </c>
      <c r="E19" s="43">
        <v>1.1713324743561855E-2</v>
      </c>
      <c r="F19" s="43">
        <v>0.25879303791354785</v>
      </c>
    </row>
    <row r="20" spans="1:6">
      <c r="A20" s="54">
        <v>45537</v>
      </c>
      <c r="B20" s="43">
        <v>0.21026918479944948</v>
      </c>
      <c r="C20" s="43">
        <v>1.2306082974775983</v>
      </c>
      <c r="D20" s="43">
        <v>6.1798299135137513E-2</v>
      </c>
      <c r="E20" s="43">
        <v>8.9764429025449427E-2</v>
      </c>
      <c r="F20" s="43">
        <v>0.39811005260940868</v>
      </c>
    </row>
    <row r="21" spans="1:6">
      <c r="A21" s="54">
        <v>45544</v>
      </c>
      <c r="B21" s="43">
        <v>0.46435400163889645</v>
      </c>
      <c r="C21" s="43">
        <v>0.41581361392816901</v>
      </c>
      <c r="D21" s="43">
        <v>5.990134708914012E-2</v>
      </c>
      <c r="E21" s="43">
        <v>1.703234597339857</v>
      </c>
      <c r="F21" s="43">
        <v>0.66082588999901559</v>
      </c>
    </row>
    <row r="22" spans="1:6">
      <c r="A22" s="54">
        <v>45551</v>
      </c>
      <c r="B22" s="43">
        <v>2.0668041724136478E-2</v>
      </c>
      <c r="C22" s="43">
        <v>0.74222825979957874</v>
      </c>
      <c r="D22" s="43">
        <v>0.2867301296020186</v>
      </c>
      <c r="E22" s="43">
        <v>-2.6681341404439108E-2</v>
      </c>
      <c r="F22" s="43">
        <v>0.25573627243032365</v>
      </c>
    </row>
    <row r="23" spans="1:6">
      <c r="A23" s="54">
        <v>45558</v>
      </c>
      <c r="B23" s="43">
        <v>-7.924822629956663E-3</v>
      </c>
      <c r="C23" s="43">
        <v>0.15758651286601597</v>
      </c>
      <c r="D23" s="43">
        <v>0.62566104068286432</v>
      </c>
      <c r="E23" s="43">
        <v>1.592351646960128</v>
      </c>
      <c r="F23" s="43">
        <v>0.59191859446976292</v>
      </c>
    </row>
    <row r="24" spans="1:6">
      <c r="A24" s="54">
        <v>45565</v>
      </c>
      <c r="B24" s="43">
        <v>-3.9477485703195474E-2</v>
      </c>
      <c r="C24" s="43">
        <v>0.27682576721248608</v>
      </c>
      <c r="D24" s="43">
        <v>0.92287307798970819</v>
      </c>
      <c r="E24" s="43">
        <v>1.8079694785926241</v>
      </c>
      <c r="F24" s="43">
        <v>0.74204770952290566</v>
      </c>
    </row>
    <row r="25" spans="1:6">
      <c r="A25" s="54">
        <v>45572</v>
      </c>
      <c r="B25" s="43">
        <v>0.43810281972675247</v>
      </c>
      <c r="C25" s="43">
        <v>1.000090820213374</v>
      </c>
      <c r="D25" s="43">
        <v>2.2456063766826309E-2</v>
      </c>
      <c r="E25" s="43">
        <v>0.10019784829366461</v>
      </c>
      <c r="F25" s="43">
        <v>0.39021188800015433</v>
      </c>
    </row>
    <row r="26" spans="1:6">
      <c r="A26" s="54">
        <v>45579</v>
      </c>
      <c r="B26" s="43">
        <v>0.18083871090552606</v>
      </c>
      <c r="C26" s="43">
        <v>0.31501331857780751</v>
      </c>
      <c r="D26" s="43">
        <v>-6.4563614529395824E-3</v>
      </c>
      <c r="E26" s="43">
        <v>0.18425729749269498</v>
      </c>
      <c r="F26" s="43">
        <v>0.16841324138077224</v>
      </c>
    </row>
    <row r="27" spans="1:6">
      <c r="A27" s="54">
        <v>45586</v>
      </c>
      <c r="B27" s="43">
        <v>1.8687212668142346</v>
      </c>
      <c r="C27" s="43">
        <v>7.3371064356504964E-2</v>
      </c>
      <c r="D27" s="43">
        <v>0.24623771231227276</v>
      </c>
      <c r="E27" s="43">
        <v>0.57763419096181545</v>
      </c>
      <c r="F27" s="43">
        <v>0.69149105861120697</v>
      </c>
    </row>
    <row r="28" spans="1:6">
      <c r="A28" s="54">
        <v>45593</v>
      </c>
      <c r="B28" s="43">
        <v>0.18382090319876945</v>
      </c>
      <c r="C28" s="43">
        <v>0.166223212379012</v>
      </c>
      <c r="D28" s="43">
        <v>1.5381417584701726E-2</v>
      </c>
      <c r="E28" s="43">
        <v>0.54180958515762179</v>
      </c>
      <c r="F28" s="43">
        <v>0.22680877958002627</v>
      </c>
    </row>
    <row r="29" spans="1:6">
      <c r="A29" s="54">
        <v>45600</v>
      </c>
      <c r="B29" s="43">
        <v>0.16918035252172714</v>
      </c>
      <c r="C29" s="43">
        <v>2.5430053699827071</v>
      </c>
      <c r="D29" s="43">
        <v>0.36508153411678962</v>
      </c>
      <c r="E29" s="43">
        <v>0.40317597627286211</v>
      </c>
      <c r="F29" s="43">
        <v>0.87011080822352149</v>
      </c>
    </row>
    <row r="30" spans="1:6">
      <c r="A30" s="54">
        <v>45607</v>
      </c>
      <c r="B30" s="43">
        <v>-3.4250669665215859E-2</v>
      </c>
      <c r="C30" s="43">
        <v>1.7550345364335054</v>
      </c>
      <c r="D30" s="43">
        <v>1.3172212358971422</v>
      </c>
      <c r="E30" s="43">
        <v>0.28821299683708945</v>
      </c>
      <c r="F30" s="43">
        <v>0.83155452487563031</v>
      </c>
    </row>
    <row r="31" spans="1:6">
      <c r="A31" s="54">
        <v>45614</v>
      </c>
      <c r="B31" s="43">
        <v>2.124852809675163E-2</v>
      </c>
      <c r="C31" s="43">
        <v>-9.5914811987394058E-2</v>
      </c>
      <c r="D31" s="43">
        <v>9.1277744844858608E-2</v>
      </c>
      <c r="E31" s="43">
        <v>1.9887634863023914E-2</v>
      </c>
      <c r="F31" s="43">
        <v>9.1247739543100261E-3</v>
      </c>
    </row>
    <row r="32" spans="1:6">
      <c r="A32" s="54">
        <v>45621</v>
      </c>
      <c r="B32" s="43">
        <v>0.39565022381564841</v>
      </c>
      <c r="C32" s="43">
        <v>0.59936417126309005</v>
      </c>
      <c r="D32" s="43">
        <v>0.11079079758069074</v>
      </c>
      <c r="E32" s="43">
        <v>1.4152074838090669</v>
      </c>
      <c r="F32" s="43">
        <v>0.63025316911712403</v>
      </c>
    </row>
    <row r="33" spans="1:6">
      <c r="A33" s="54">
        <v>45628</v>
      </c>
      <c r="B33" s="43">
        <v>0.36277109484146308</v>
      </c>
      <c r="C33" s="43">
        <v>0.38511033114748661</v>
      </c>
      <c r="D33" s="43">
        <v>0.37850431101244258</v>
      </c>
      <c r="E33" s="43">
        <v>0.13151115811166245</v>
      </c>
      <c r="F33" s="43">
        <v>0.31447422377826367</v>
      </c>
    </row>
    <row r="34" spans="1:6">
      <c r="A34" s="54">
        <v>45635</v>
      </c>
      <c r="B34" s="43">
        <v>3.8307014117515763</v>
      </c>
      <c r="C34" s="43">
        <v>0.5072161583928636</v>
      </c>
      <c r="D34" s="43">
        <v>8.3806473528412688</v>
      </c>
      <c r="E34" s="43">
        <v>0.12679964770499277</v>
      </c>
      <c r="F34" s="43">
        <v>3.2113411426726755</v>
      </c>
    </row>
    <row r="35" spans="1:6">
      <c r="A35" s="54">
        <v>45642</v>
      </c>
      <c r="B35" s="43">
        <v>0.33115688467227011</v>
      </c>
      <c r="C35" s="43">
        <v>0.30759118725472717</v>
      </c>
      <c r="D35" s="43">
        <v>0.41536387893013998</v>
      </c>
      <c r="E35" s="43">
        <v>0.17917737946946316</v>
      </c>
      <c r="F35" s="43">
        <v>0.30832233258165009</v>
      </c>
    </row>
    <row r="36" spans="1:6">
      <c r="A36" s="54">
        <v>45649</v>
      </c>
      <c r="B36" s="43">
        <v>0.78202834584935776</v>
      </c>
      <c r="C36" s="43">
        <v>0.24359408109118752</v>
      </c>
      <c r="D36" s="43">
        <v>1.123041457611657</v>
      </c>
      <c r="E36" s="43">
        <v>6.3113158835445047</v>
      </c>
      <c r="F36" s="43">
        <v>2.1149949420241767</v>
      </c>
    </row>
    <row r="37" spans="1:6">
      <c r="A37" s="54">
        <v>45656</v>
      </c>
      <c r="B37" s="43">
        <v>0.46806929323118035</v>
      </c>
      <c r="C37" s="43">
        <v>1.2535155251271271</v>
      </c>
      <c r="D37" s="43">
        <v>0.55634189738421069</v>
      </c>
      <c r="E37" s="43">
        <v>1.0669005078738718</v>
      </c>
      <c r="F37" s="43">
        <v>0.83620680590409746</v>
      </c>
    </row>
    <row r="38" spans="1:6">
      <c r="A38" s="54">
        <v>45663</v>
      </c>
      <c r="B38" s="43">
        <v>0.64766839378238339</v>
      </c>
      <c r="C38" s="43">
        <v>0.19361810704529764</v>
      </c>
      <c r="D38" s="43">
        <v>0.32008104408927779</v>
      </c>
      <c r="E38" s="43">
        <v>0.88669950738916259</v>
      </c>
      <c r="F38" s="43">
        <v>0.51201676307653043</v>
      </c>
    </row>
    <row r="39" spans="1:6">
      <c r="A39" s="54">
        <v>45670</v>
      </c>
      <c r="B39" s="43">
        <v>0.13262186302564766</v>
      </c>
      <c r="C39" s="43">
        <v>0.49282654051223052</v>
      </c>
      <c r="D39" s="43">
        <v>-2.9514486693885584E-2</v>
      </c>
      <c r="E39" s="43">
        <v>6.2409087760615085</v>
      </c>
      <c r="F39" s="43">
        <v>1.7092106732263752</v>
      </c>
    </row>
    <row r="40" spans="1:6">
      <c r="A40" s="54">
        <v>45677</v>
      </c>
      <c r="B40" s="43">
        <v>8.905295209493419E-2</v>
      </c>
      <c r="C40" s="43">
        <v>0.40971536250166152</v>
      </c>
      <c r="D40" s="43">
        <v>0.71621491270377158</v>
      </c>
      <c r="E40" s="43">
        <v>0.2148693125665902</v>
      </c>
      <c r="F40" s="43">
        <v>0.35746313496673937</v>
      </c>
    </row>
    <row r="41" spans="1:6">
      <c r="A41" s="54">
        <v>45684</v>
      </c>
      <c r="B41" s="43">
        <v>0.27948348464241363</v>
      </c>
      <c r="C41" s="43">
        <v>-4.6464109274628081E-2</v>
      </c>
      <c r="D41" s="43">
        <v>0.54309533874905258</v>
      </c>
      <c r="E41" s="43">
        <v>0.26534161921203286</v>
      </c>
      <c r="F41" s="43">
        <v>0.26036408333221772</v>
      </c>
    </row>
    <row r="42" spans="1:6">
      <c r="A42" s="54">
        <v>45691</v>
      </c>
      <c r="B42" s="43">
        <v>0.5500525785553031</v>
      </c>
      <c r="C42" s="43">
        <v>0.30720567989168157</v>
      </c>
      <c r="D42" s="43">
        <v>0.32046588643454949</v>
      </c>
      <c r="E42" s="43">
        <v>-7.4972485467156139E-2</v>
      </c>
      <c r="F42" s="43">
        <v>0.27568791485359451</v>
      </c>
    </row>
    <row r="43" spans="1:6">
      <c r="A43" s="54">
        <v>45698</v>
      </c>
      <c r="B43" s="43">
        <v>0.29427518601934727</v>
      </c>
      <c r="C43" s="43">
        <v>0.77568587198256844</v>
      </c>
      <c r="D43" s="43">
        <v>0.94958208908059605</v>
      </c>
      <c r="E43" s="43">
        <v>0.29756017144741181</v>
      </c>
      <c r="F43" s="43">
        <v>0.57927582963248081</v>
      </c>
    </row>
    <row r="44" spans="1:6">
      <c r="A44" s="54">
        <v>45705</v>
      </c>
      <c r="B44" s="43">
        <v>1.5147617822744293</v>
      </c>
      <c r="C44" s="43">
        <v>0.21291007252180397</v>
      </c>
      <c r="D44" s="43">
        <v>-2.5410691720235155E-2</v>
      </c>
      <c r="E44" s="43">
        <v>1.1086997546706925</v>
      </c>
      <c r="F44" s="43">
        <v>0.70274022943667269</v>
      </c>
    </row>
    <row r="45" spans="1:6">
      <c r="A45" s="54">
        <v>45712</v>
      </c>
      <c r="B45" s="43">
        <v>0.74073109768798173</v>
      </c>
      <c r="C45" s="43">
        <v>1.08675033985647</v>
      </c>
      <c r="D45" s="43">
        <v>0.22333891680625351</v>
      </c>
      <c r="E45" s="43">
        <v>0.21885278918832757</v>
      </c>
      <c r="F45" s="43">
        <v>0.56741828588475818</v>
      </c>
    </row>
    <row r="46" spans="1:6">
      <c r="A46" s="54">
        <v>45719</v>
      </c>
      <c r="B46" s="43">
        <v>-3.2435585380545737E-2</v>
      </c>
      <c r="C46" s="43">
        <v>0.51052298518124528</v>
      </c>
      <c r="D46" s="43">
        <v>0.19268070513850935</v>
      </c>
      <c r="E46" s="43">
        <v>0.14029055733207443</v>
      </c>
      <c r="F46" s="43">
        <v>0.20276466556782083</v>
      </c>
    </row>
    <row r="47" spans="1:6">
      <c r="A47" s="54">
        <v>45726</v>
      </c>
      <c r="B47" s="43">
        <v>0.26639909400836753</v>
      </c>
      <c r="C47" s="43">
        <v>4.5873346287504703E-2</v>
      </c>
      <c r="D47" s="43">
        <v>10.825114265095021</v>
      </c>
      <c r="E47" s="43">
        <v>1.2622336046830696</v>
      </c>
      <c r="F47" s="43">
        <v>3.0999050775184909</v>
      </c>
    </row>
    <row r="48" spans="1:6">
      <c r="A48" s="54">
        <v>45733</v>
      </c>
      <c r="B48" s="43">
        <v>0.32619275185675578</v>
      </c>
      <c r="C48" s="43">
        <v>0.16572027392586453</v>
      </c>
      <c r="D48" s="43">
        <v>6.9173294769824052</v>
      </c>
      <c r="E48" s="43">
        <v>7.9689298043728432</v>
      </c>
      <c r="F48" s="43">
        <v>3.8445430767844671</v>
      </c>
    </row>
    <row r="49" spans="1:6">
      <c r="A49" s="54">
        <v>45740</v>
      </c>
      <c r="B49" s="43">
        <v>0.1268716241173857</v>
      </c>
      <c r="C49" s="43">
        <v>0.12636715002329982</v>
      </c>
      <c r="D49" s="43">
        <v>0.13832962243592781</v>
      </c>
      <c r="E49" s="43">
        <v>8.8022790888170319E-2</v>
      </c>
      <c r="F49" s="43">
        <v>0.11989779686619592</v>
      </c>
    </row>
    <row r="50" spans="1:6">
      <c r="A50" s="54">
        <v>45747</v>
      </c>
      <c r="B50" s="43">
        <v>0.13889264193260734</v>
      </c>
      <c r="C50" s="43">
        <v>0.22667798288422092</v>
      </c>
      <c r="D50" s="43">
        <v>0.84497101083942527</v>
      </c>
      <c r="E50" s="43">
        <v>0.33667947287974553</v>
      </c>
      <c r="F50" s="43">
        <v>0.38680527713399976</v>
      </c>
    </row>
    <row r="51" spans="1:6">
      <c r="A51" s="54">
        <v>45754</v>
      </c>
      <c r="B51" s="43">
        <v>1.0436528865268369</v>
      </c>
      <c r="C51" s="43">
        <v>0.21195852212872357</v>
      </c>
      <c r="D51" s="43">
        <v>3.4032917638311533</v>
      </c>
      <c r="E51" s="43">
        <v>7.1981098934404214E-2</v>
      </c>
      <c r="F51" s="43">
        <v>1.1827210678552793</v>
      </c>
    </row>
    <row r="52" spans="1:6">
      <c r="A52" s="54">
        <v>45761</v>
      </c>
      <c r="B52" s="43">
        <v>-0.24750024750024749</v>
      </c>
      <c r="C52" s="43">
        <v>-0.2399448126930806</v>
      </c>
      <c r="D52" s="43">
        <v>3.7191155522184875E-2</v>
      </c>
      <c r="E52" s="43">
        <v>3.9239564305527365E-2</v>
      </c>
      <c r="F52" s="43">
        <v>-0.10275358509140396</v>
      </c>
    </row>
    <row r="53" spans="1:6">
      <c r="A53" s="54">
        <v>45768</v>
      </c>
      <c r="B53" s="43">
        <v>0.27690774864725926</v>
      </c>
      <c r="C53" s="43">
        <v>0.95802484827301337</v>
      </c>
      <c r="D53" s="43">
        <v>0.22734693021737243</v>
      </c>
      <c r="E53" s="43">
        <v>0.60267642955734835</v>
      </c>
      <c r="F53" s="43">
        <v>0.51623898917374844</v>
      </c>
    </row>
    <row r="54" spans="1:6">
      <c r="A54" s="54">
        <v>45775</v>
      </c>
      <c r="B54" s="43">
        <v>0.2014855668727483</v>
      </c>
      <c r="C54" s="43">
        <v>0.34511059684624079</v>
      </c>
      <c r="D54" s="43">
        <v>0.19454574184929271</v>
      </c>
      <c r="E54" s="43">
        <v>5.5706165282028861</v>
      </c>
      <c r="F54" s="43">
        <v>1.5779396084427919</v>
      </c>
    </row>
    <row r="55" spans="1:6">
      <c r="A55" s="54">
        <v>45782</v>
      </c>
      <c r="B55" s="43">
        <v>8.0965664826031306E-2</v>
      </c>
      <c r="C55" s="43">
        <v>0.41995793722733987</v>
      </c>
      <c r="D55" s="43">
        <v>0.311749015203442</v>
      </c>
      <c r="E55" s="43">
        <v>0.58190830903102841</v>
      </c>
      <c r="F55" s="43">
        <v>0.34864523157196037</v>
      </c>
    </row>
    <row r="56" spans="1:6">
      <c r="A56" s="54">
        <v>45789</v>
      </c>
      <c r="B56" s="43">
        <v>0.11156186612576065</v>
      </c>
      <c r="C56" s="43">
        <v>0.35361871958419905</v>
      </c>
      <c r="D56" s="43">
        <v>5.8952701962314107E-2</v>
      </c>
      <c r="E56" s="43">
        <v>-0.4081978730104896</v>
      </c>
      <c r="F56" s="43">
        <v>2.8983853665446035E-2</v>
      </c>
    </row>
    <row r="57" spans="1:6">
      <c r="A57" s="54" t="s">
        <v>390</v>
      </c>
      <c r="B57" s="43">
        <v>0.54649906832972628</v>
      </c>
      <c r="C57" s="43">
        <v>0.57625321264951812</v>
      </c>
      <c r="D57" s="43">
        <v>0.92800256766213385</v>
      </c>
      <c r="E57" s="43">
        <v>0.90210666313360066</v>
      </c>
      <c r="F57" s="43">
        <v>0.73821537794374459</v>
      </c>
    </row>
    <row r="78" ht="12" customHeight="1"/>
    <row r="79" ht="12" customHeight="1"/>
    <row r="80" ht="12" customHeight="1"/>
    <row r="81" spans="1:2" ht="12" customHeight="1"/>
    <row r="82" spans="1:2" ht="12" customHeight="1"/>
    <row r="86" spans="1:2">
      <c r="A86" s="19" t="s">
        <v>389</v>
      </c>
      <c r="B86" t="s">
        <v>429</v>
      </c>
    </row>
    <row r="87" spans="1:2">
      <c r="A87" s="55">
        <v>45446</v>
      </c>
      <c r="B87">
        <v>3554</v>
      </c>
    </row>
    <row r="88" spans="1:2">
      <c r="A88" s="55">
        <v>45453</v>
      </c>
      <c r="B88">
        <v>2980</v>
      </c>
    </row>
    <row r="89" spans="1:2">
      <c r="A89" s="55">
        <v>45460</v>
      </c>
      <c r="B89">
        <v>3907</v>
      </c>
    </row>
    <row r="90" spans="1:2">
      <c r="A90" s="55">
        <v>45467</v>
      </c>
      <c r="B90">
        <v>3011</v>
      </c>
    </row>
    <row r="91" spans="1:2">
      <c r="A91" s="55">
        <v>45474</v>
      </c>
      <c r="B91">
        <v>1293</v>
      </c>
    </row>
    <row r="92" spans="1:2">
      <c r="A92" s="55">
        <v>45481</v>
      </c>
      <c r="B92">
        <v>3042</v>
      </c>
    </row>
    <row r="93" spans="1:2">
      <c r="A93" s="55">
        <v>45488</v>
      </c>
      <c r="B93">
        <v>2270</v>
      </c>
    </row>
    <row r="94" spans="1:2">
      <c r="A94" s="55">
        <v>45495</v>
      </c>
      <c r="B94">
        <v>2753</v>
      </c>
    </row>
    <row r="95" spans="1:2">
      <c r="A95" s="55">
        <v>45502</v>
      </c>
      <c r="B95">
        <v>2193</v>
      </c>
    </row>
    <row r="96" spans="1:2">
      <c r="A96" s="55">
        <v>45509</v>
      </c>
      <c r="B96">
        <v>802</v>
      </c>
    </row>
    <row r="97" spans="1:2">
      <c r="A97" s="55">
        <v>45516</v>
      </c>
      <c r="B97">
        <v>3728</v>
      </c>
    </row>
    <row r="98" spans="1:2">
      <c r="A98" s="55">
        <v>45523</v>
      </c>
      <c r="B98">
        <v>2989</v>
      </c>
    </row>
    <row r="99" spans="1:2">
      <c r="A99" s="55">
        <v>45530</v>
      </c>
      <c r="B99">
        <v>2903</v>
      </c>
    </row>
    <row r="100" spans="1:2">
      <c r="A100" s="55">
        <v>45537</v>
      </c>
      <c r="B100">
        <v>2822</v>
      </c>
    </row>
    <row r="101" spans="1:2">
      <c r="A101" s="55">
        <v>45544</v>
      </c>
      <c r="B101">
        <v>4360</v>
      </c>
    </row>
    <row r="102" spans="1:2">
      <c r="A102" s="55">
        <v>45551</v>
      </c>
      <c r="B102">
        <v>1568</v>
      </c>
    </row>
    <row r="103" spans="1:2">
      <c r="A103" s="55">
        <v>45558</v>
      </c>
      <c r="B103">
        <v>3333</v>
      </c>
    </row>
    <row r="104" spans="1:2">
      <c r="A104" s="55">
        <v>45565</v>
      </c>
      <c r="B104">
        <v>3151</v>
      </c>
    </row>
    <row r="105" spans="1:2">
      <c r="A105" s="55">
        <v>45572</v>
      </c>
      <c r="B105">
        <v>3759</v>
      </c>
    </row>
    <row r="106" spans="1:2">
      <c r="A106" s="55">
        <v>45579</v>
      </c>
      <c r="B106">
        <v>1856</v>
      </c>
    </row>
    <row r="107" spans="1:2">
      <c r="A107" s="55">
        <v>45586</v>
      </c>
      <c r="B107">
        <v>2821</v>
      </c>
    </row>
    <row r="108" spans="1:2">
      <c r="A108" s="55">
        <v>45593</v>
      </c>
      <c r="B108">
        <v>2656</v>
      </c>
    </row>
    <row r="109" spans="1:2">
      <c r="A109" s="55">
        <v>45600</v>
      </c>
      <c r="B109">
        <v>4584</v>
      </c>
    </row>
    <row r="110" spans="1:2">
      <c r="A110" s="55">
        <v>45607</v>
      </c>
      <c r="B110">
        <v>2295</v>
      </c>
    </row>
    <row r="111" spans="1:2">
      <c r="A111" s="55">
        <v>45614</v>
      </c>
      <c r="B111">
        <v>528</v>
      </c>
    </row>
    <row r="112" spans="1:2">
      <c r="A112" s="55">
        <v>45621</v>
      </c>
      <c r="B112">
        <v>4008</v>
      </c>
    </row>
    <row r="113" spans="1:2">
      <c r="A113" s="55">
        <v>45628</v>
      </c>
      <c r="B113">
        <v>4795</v>
      </c>
    </row>
    <row r="114" spans="1:2">
      <c r="A114" s="55">
        <v>45635</v>
      </c>
      <c r="B114">
        <v>4792</v>
      </c>
    </row>
    <row r="115" spans="1:2">
      <c r="A115" s="55">
        <v>45642</v>
      </c>
      <c r="B115">
        <v>5044</v>
      </c>
    </row>
    <row r="116" spans="1:2">
      <c r="A116" s="55">
        <v>45649</v>
      </c>
      <c r="B116">
        <v>3914</v>
      </c>
    </row>
    <row r="117" spans="1:2">
      <c r="A117" s="55">
        <v>45656</v>
      </c>
      <c r="B117">
        <v>6530</v>
      </c>
    </row>
    <row r="118" spans="1:2">
      <c r="A118" s="55">
        <v>45663</v>
      </c>
      <c r="B118">
        <v>3557</v>
      </c>
    </row>
    <row r="119" spans="1:2">
      <c r="A119" s="55">
        <v>45670</v>
      </c>
      <c r="B119">
        <v>2777</v>
      </c>
    </row>
    <row r="120" spans="1:2">
      <c r="A120" s="55">
        <v>45677</v>
      </c>
      <c r="B120">
        <v>3614</v>
      </c>
    </row>
    <row r="121" spans="1:2">
      <c r="A121" s="55">
        <v>45684</v>
      </c>
      <c r="B121">
        <v>3383</v>
      </c>
    </row>
    <row r="122" spans="1:2">
      <c r="A122" s="55">
        <v>45691</v>
      </c>
      <c r="B122">
        <v>2194</v>
      </c>
    </row>
    <row r="123" spans="1:2">
      <c r="A123" s="55">
        <v>45698</v>
      </c>
      <c r="B123">
        <v>5281</v>
      </c>
    </row>
    <row r="124" spans="1:2">
      <c r="A124" s="55">
        <v>45705</v>
      </c>
      <c r="B124">
        <v>3693</v>
      </c>
    </row>
    <row r="125" spans="1:2">
      <c r="A125" s="55">
        <v>45712</v>
      </c>
      <c r="B125">
        <v>4806</v>
      </c>
    </row>
    <row r="126" spans="1:2">
      <c r="A126" s="55">
        <v>45719</v>
      </c>
      <c r="B126">
        <v>2410</v>
      </c>
    </row>
    <row r="127" spans="1:2">
      <c r="A127" s="55">
        <v>45726</v>
      </c>
      <c r="B127">
        <v>3712</v>
      </c>
    </row>
    <row r="128" spans="1:2">
      <c r="A128" s="55">
        <v>45733</v>
      </c>
      <c r="B128">
        <v>4042</v>
      </c>
    </row>
    <row r="129" spans="1:2">
      <c r="A129" s="55">
        <v>45740</v>
      </c>
      <c r="B129">
        <v>1616</v>
      </c>
    </row>
    <row r="130" spans="1:2">
      <c r="A130" s="55">
        <v>45747</v>
      </c>
      <c r="B130">
        <v>4298</v>
      </c>
    </row>
    <row r="131" spans="1:2">
      <c r="A131" s="55">
        <v>45754</v>
      </c>
      <c r="B131">
        <v>2412</v>
      </c>
    </row>
    <row r="132" spans="1:2">
      <c r="A132" s="55">
        <v>45761</v>
      </c>
      <c r="B132">
        <v>-137</v>
      </c>
    </row>
    <row r="133" spans="1:2">
      <c r="A133" s="55">
        <v>45768</v>
      </c>
      <c r="B133">
        <v>4040</v>
      </c>
    </row>
    <row r="134" spans="1:2">
      <c r="A134" s="55">
        <v>45775</v>
      </c>
      <c r="B134">
        <v>3577</v>
      </c>
    </row>
    <row r="135" spans="1:2">
      <c r="A135" s="55">
        <v>45782</v>
      </c>
      <c r="B135">
        <v>4594</v>
      </c>
    </row>
    <row r="136" spans="1:2">
      <c r="A136" s="55">
        <v>45789</v>
      </c>
      <c r="B136">
        <v>1995</v>
      </c>
    </row>
    <row r="137" spans="1:2">
      <c r="A137" s="54" t="s">
        <v>390</v>
      </c>
      <c r="B137">
        <v>160105</v>
      </c>
    </row>
    <row r="142" spans="1:2">
      <c r="A142" s="19" t="s">
        <v>389</v>
      </c>
      <c r="B142" t="s">
        <v>429</v>
      </c>
    </row>
    <row r="143" spans="1:2">
      <c r="A143" s="54">
        <v>45446</v>
      </c>
      <c r="B143">
        <v>3554</v>
      </c>
    </row>
    <row r="144" spans="1:2">
      <c r="A144" s="54">
        <v>45453</v>
      </c>
      <c r="B144">
        <v>2980</v>
      </c>
    </row>
    <row r="145" spans="1:2">
      <c r="A145" s="54">
        <v>45460</v>
      </c>
      <c r="B145">
        <v>3907</v>
      </c>
    </row>
    <row r="146" spans="1:2">
      <c r="A146" s="54">
        <v>45467</v>
      </c>
      <c r="B146">
        <v>3011</v>
      </c>
    </row>
    <row r="147" spans="1:2">
      <c r="A147" s="54">
        <v>45474</v>
      </c>
      <c r="B147">
        <v>1293</v>
      </c>
    </row>
    <row r="148" spans="1:2">
      <c r="A148" s="54">
        <v>45481</v>
      </c>
      <c r="B148">
        <v>3042</v>
      </c>
    </row>
    <row r="149" spans="1:2">
      <c r="A149" s="54">
        <v>45488</v>
      </c>
      <c r="B149">
        <v>2270</v>
      </c>
    </row>
    <row r="150" spans="1:2">
      <c r="A150" s="54">
        <v>45495</v>
      </c>
      <c r="B150">
        <v>2753</v>
      </c>
    </row>
    <row r="151" spans="1:2">
      <c r="A151" s="54">
        <v>45502</v>
      </c>
      <c r="B151">
        <v>2193</v>
      </c>
    </row>
    <row r="152" spans="1:2">
      <c r="A152" s="54">
        <v>45509</v>
      </c>
      <c r="B152">
        <v>802</v>
      </c>
    </row>
    <row r="153" spans="1:2">
      <c r="A153" s="54">
        <v>45516</v>
      </c>
      <c r="B153">
        <v>3728</v>
      </c>
    </row>
    <row r="154" spans="1:2">
      <c r="A154" s="54">
        <v>45523</v>
      </c>
      <c r="B154">
        <v>2989</v>
      </c>
    </row>
    <row r="155" spans="1:2">
      <c r="A155" s="54">
        <v>45530</v>
      </c>
      <c r="B155">
        <v>2903</v>
      </c>
    </row>
    <row r="156" spans="1:2">
      <c r="A156" s="54">
        <v>45537</v>
      </c>
      <c r="B156">
        <v>2822</v>
      </c>
    </row>
    <row r="157" spans="1:2">
      <c r="A157" s="54">
        <v>45544</v>
      </c>
      <c r="B157">
        <v>4360</v>
      </c>
    </row>
    <row r="158" spans="1:2">
      <c r="A158" s="54">
        <v>45551</v>
      </c>
      <c r="B158">
        <v>1568</v>
      </c>
    </row>
    <row r="159" spans="1:2">
      <c r="A159" s="54">
        <v>45558</v>
      </c>
      <c r="B159">
        <v>3333</v>
      </c>
    </row>
    <row r="160" spans="1:2">
      <c r="A160" s="54">
        <v>45565</v>
      </c>
      <c r="B160">
        <v>3151</v>
      </c>
    </row>
    <row r="161" spans="1:2">
      <c r="A161" s="54">
        <v>45572</v>
      </c>
      <c r="B161">
        <v>3759</v>
      </c>
    </row>
    <row r="162" spans="1:2">
      <c r="A162" s="54">
        <v>45579</v>
      </c>
      <c r="B162">
        <v>1856</v>
      </c>
    </row>
    <row r="163" spans="1:2">
      <c r="A163" s="54">
        <v>45586</v>
      </c>
      <c r="B163">
        <v>2821</v>
      </c>
    </row>
    <row r="164" spans="1:2">
      <c r="A164" s="54">
        <v>45593</v>
      </c>
      <c r="B164">
        <v>2656</v>
      </c>
    </row>
    <row r="165" spans="1:2">
      <c r="A165" s="54">
        <v>45600</v>
      </c>
      <c r="B165">
        <v>4584</v>
      </c>
    </row>
    <row r="166" spans="1:2">
      <c r="A166" s="54">
        <v>45607</v>
      </c>
      <c r="B166">
        <v>2295</v>
      </c>
    </row>
    <row r="167" spans="1:2">
      <c r="A167" s="54">
        <v>45614</v>
      </c>
      <c r="B167">
        <v>528</v>
      </c>
    </row>
    <row r="168" spans="1:2">
      <c r="A168" s="54">
        <v>45621</v>
      </c>
      <c r="B168">
        <v>4008</v>
      </c>
    </row>
    <row r="169" spans="1:2">
      <c r="A169" s="54">
        <v>45628</v>
      </c>
      <c r="B169">
        <v>4795</v>
      </c>
    </row>
    <row r="170" spans="1:2">
      <c r="A170" s="54">
        <v>45635</v>
      </c>
      <c r="B170">
        <v>4792</v>
      </c>
    </row>
    <row r="171" spans="1:2">
      <c r="A171" s="54">
        <v>45642</v>
      </c>
      <c r="B171">
        <v>5044</v>
      </c>
    </row>
    <row r="172" spans="1:2">
      <c r="A172" s="54">
        <v>45649</v>
      </c>
      <c r="B172">
        <v>3914</v>
      </c>
    </row>
    <row r="173" spans="1:2">
      <c r="A173" s="54">
        <v>45656</v>
      </c>
      <c r="B173">
        <v>6530</v>
      </c>
    </row>
    <row r="174" spans="1:2">
      <c r="A174" s="54">
        <v>45663</v>
      </c>
      <c r="B174">
        <v>3557</v>
      </c>
    </row>
    <row r="175" spans="1:2">
      <c r="A175" s="54">
        <v>45670</v>
      </c>
      <c r="B175">
        <v>2777</v>
      </c>
    </row>
    <row r="176" spans="1:2">
      <c r="A176" s="54">
        <v>45677</v>
      </c>
      <c r="B176">
        <v>3614</v>
      </c>
    </row>
    <row r="177" spans="1:2">
      <c r="A177" s="54">
        <v>45684</v>
      </c>
      <c r="B177">
        <v>3383</v>
      </c>
    </row>
    <row r="178" spans="1:2">
      <c r="A178" s="54">
        <v>45691</v>
      </c>
      <c r="B178">
        <v>2194</v>
      </c>
    </row>
    <row r="179" spans="1:2">
      <c r="A179" s="54">
        <v>45698</v>
      </c>
      <c r="B179">
        <v>5281</v>
      </c>
    </row>
    <row r="180" spans="1:2">
      <c r="A180" s="54">
        <v>45705</v>
      </c>
      <c r="B180">
        <v>3693</v>
      </c>
    </row>
    <row r="181" spans="1:2">
      <c r="A181" s="54">
        <v>45712</v>
      </c>
      <c r="B181">
        <v>4806</v>
      </c>
    </row>
    <row r="182" spans="1:2">
      <c r="A182" s="54">
        <v>45719</v>
      </c>
      <c r="B182">
        <v>2410</v>
      </c>
    </row>
    <row r="183" spans="1:2">
      <c r="A183" s="54">
        <v>45726</v>
      </c>
      <c r="B183">
        <v>3712</v>
      </c>
    </row>
    <row r="184" spans="1:2">
      <c r="A184" s="54">
        <v>45733</v>
      </c>
      <c r="B184">
        <v>4042</v>
      </c>
    </row>
    <row r="185" spans="1:2">
      <c r="A185" s="54">
        <v>45740</v>
      </c>
      <c r="B185">
        <v>1616</v>
      </c>
    </row>
    <row r="186" spans="1:2">
      <c r="A186" s="54">
        <v>45747</v>
      </c>
      <c r="B186">
        <v>4298</v>
      </c>
    </row>
    <row r="187" spans="1:2">
      <c r="A187" s="54">
        <v>45754</v>
      </c>
      <c r="B187">
        <v>2412</v>
      </c>
    </row>
    <row r="188" spans="1:2">
      <c r="A188" s="54">
        <v>45761</v>
      </c>
      <c r="B188">
        <v>-137</v>
      </c>
    </row>
    <row r="189" spans="1:2">
      <c r="A189" s="54">
        <v>45768</v>
      </c>
      <c r="B189">
        <v>4040</v>
      </c>
    </row>
    <row r="190" spans="1:2">
      <c r="A190" s="54">
        <v>45775</v>
      </c>
      <c r="B190">
        <v>3577</v>
      </c>
    </row>
    <row r="191" spans="1:2">
      <c r="A191" s="54">
        <v>45782</v>
      </c>
      <c r="B191">
        <v>4594</v>
      </c>
    </row>
    <row r="192" spans="1:2">
      <c r="A192" s="54">
        <v>45789</v>
      </c>
      <c r="B192">
        <v>1995</v>
      </c>
    </row>
    <row r="193" spans="1:2">
      <c r="A193" s="54" t="s">
        <v>390</v>
      </c>
      <c r="B193">
        <v>160105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32ED2-4BBF-499E-A385-9350B788202E}">
  <dimension ref="A1:A5"/>
  <sheetViews>
    <sheetView workbookViewId="0">
      <selection activeCell="A21" sqref="A21"/>
    </sheetView>
  </sheetViews>
  <sheetFormatPr defaultRowHeight="14.25"/>
  <cols>
    <col min="1" max="1" width="63.625" customWidth="1"/>
  </cols>
  <sheetData>
    <row r="1" spans="1:1">
      <c r="A1" s="79" t="s">
        <v>452</v>
      </c>
    </row>
    <row r="2" spans="1:1">
      <c r="A2" s="79"/>
    </row>
    <row r="5" spans="1:1">
      <c r="A5" s="79" t="s">
        <v>452</v>
      </c>
    </row>
  </sheetData>
  <hyperlinks>
    <hyperlink ref="A1" r:id="rId1" xr:uid="{5DD3D76B-17C2-4DC0-9EFE-EAD5AE2C14FF}"/>
    <hyperlink ref="A5" r:id="rId2" xr:uid="{463578AE-A0D6-4ED3-9461-6BF1A531830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8672D03F-B21A-46B6-9F63-0468FDEFC910}">
  <ds:schemaRefs>
    <ds:schemaRef ds:uri="http://schemas.microsoft.com/DataMashup"/>
  </ds:schemaRefs>
</ds:datastoreItem>
</file>

<file path=customXml/itemProps2.xml><?xml version="1.0" encoding="utf-8"?>
<ds:datastoreItem xmlns:ds="http://schemas.openxmlformats.org/officeDocument/2006/customXml" ds:itemID="{389BE097-868A-4B94-B114-B39C19E1B792}">
  <ds:schemaRefs/>
</ds:datastoreItem>
</file>

<file path=customXml/itemProps3.xml><?xml version="1.0" encoding="utf-8"?>
<ds:datastoreItem xmlns:ds="http://schemas.openxmlformats.org/officeDocument/2006/customXml" ds:itemID="{92668DDC-5D26-4527-B5EE-6D44A1212A76}">
  <ds:schemaRefs/>
</ds:datastoreItem>
</file>

<file path=customXml/itemProps4.xml><?xml version="1.0" encoding="utf-8"?>
<ds:datastoreItem xmlns:ds="http://schemas.openxmlformats.org/officeDocument/2006/customXml" ds:itemID="{6B1BC8EC-AC16-462D-A37C-687D6CB9ABB9}">
  <ds:schemaRefs/>
</ds:datastoreItem>
</file>

<file path=customXml/itemProps5.xml><?xml version="1.0" encoding="utf-8"?>
<ds:datastoreItem xmlns:ds="http://schemas.openxmlformats.org/officeDocument/2006/customXml" ds:itemID="{015EC851-31C4-4FAB-849B-8BF6001760E3}">
  <ds:schemaRefs/>
</ds:datastoreItem>
</file>

<file path=customXml/itemProps6.xml><?xml version="1.0" encoding="utf-8"?>
<ds:datastoreItem xmlns:ds="http://schemas.openxmlformats.org/officeDocument/2006/customXml" ds:itemID="{0ECFE8AE-5E49-4075-AE35-345D2A19D0F4}">
  <ds:schemaRefs/>
</ds:datastoreItem>
</file>

<file path=customXml/itemProps7.xml><?xml version="1.0" encoding="utf-8"?>
<ds:datastoreItem xmlns:ds="http://schemas.openxmlformats.org/officeDocument/2006/customXml" ds:itemID="{836677D7-C0A1-48A5-93B5-CCCEC99FCF5B}">
  <ds:schemaRefs/>
</ds:datastoreItem>
</file>

<file path=customXml/itemProps8.xml><?xml version="1.0" encoding="utf-8"?>
<ds:datastoreItem xmlns:ds="http://schemas.openxmlformats.org/officeDocument/2006/customXml" ds:itemID="{9EB39D92-4DA0-4214-9B33-EED4015A9103}">
  <ds:schemaRefs/>
</ds:datastoreItem>
</file>

<file path=customXml/itemProps9.xml><?xml version="1.0" encoding="utf-8"?>
<ds:datastoreItem xmlns:ds="http://schemas.openxmlformats.org/officeDocument/2006/customXml" ds:itemID="{66A10B71-0652-4E98-957F-732DA6231647}">
  <ds:schemaRefs/>
</ds:datastoreItem>
</file>

<file path=customXml/itemProps10.xml><?xml version="1.0" encoding="utf-8"?>
<ds:datastoreItem xmlns:ds="http://schemas.openxmlformats.org/officeDocument/2006/customXml" ds:itemID="{9867740D-6900-4992-9DA2-21D55C6EC8F1}">
  <ds:schemaRefs/>
</ds:datastoreItem>
</file>

<file path=customXml/itemProps11.xml><?xml version="1.0" encoding="utf-8"?>
<ds:datastoreItem xmlns:ds="http://schemas.openxmlformats.org/officeDocument/2006/customXml" ds:itemID="{759E4737-4C11-4D4D-BA13-381B61711271}">
  <ds:schemaRefs/>
</ds:datastoreItem>
</file>

<file path=customXml/itemProps12.xml><?xml version="1.0" encoding="utf-8"?>
<ds:datastoreItem xmlns:ds="http://schemas.openxmlformats.org/officeDocument/2006/customXml" ds:itemID="{E60C748E-0CEA-43B5-A001-6271D8FCA467}">
  <ds:schemaRefs/>
</ds:datastoreItem>
</file>

<file path=customXml/itemProps13.xml><?xml version="1.0" encoding="utf-8"?>
<ds:datastoreItem xmlns:ds="http://schemas.openxmlformats.org/officeDocument/2006/customXml" ds:itemID="{3B3A1481-F5AE-4E4B-AB62-FA2D6B05E53D}">
  <ds:schemaRefs/>
</ds:datastoreItem>
</file>

<file path=customXml/itemProps14.xml><?xml version="1.0" encoding="utf-8"?>
<ds:datastoreItem xmlns:ds="http://schemas.openxmlformats.org/officeDocument/2006/customXml" ds:itemID="{80F4E68D-7E17-4A52-99CC-078EF37C1EB4}">
  <ds:schemaRefs/>
</ds:datastoreItem>
</file>

<file path=customXml/itemProps15.xml><?xml version="1.0" encoding="utf-8"?>
<ds:datastoreItem xmlns:ds="http://schemas.openxmlformats.org/officeDocument/2006/customXml" ds:itemID="{F40DF628-7CCF-4A6D-98C5-D81B3614F0DF}">
  <ds:schemaRefs/>
</ds:datastoreItem>
</file>

<file path=customXml/itemProps16.xml><?xml version="1.0" encoding="utf-8"?>
<ds:datastoreItem xmlns:ds="http://schemas.openxmlformats.org/officeDocument/2006/customXml" ds:itemID="{523A2BEB-2FE5-465A-9FC2-C1399A80F820}">
  <ds:schemaRefs/>
</ds:datastoreItem>
</file>

<file path=customXml/itemProps17.xml><?xml version="1.0" encoding="utf-8"?>
<ds:datastoreItem xmlns:ds="http://schemas.openxmlformats.org/officeDocument/2006/customXml" ds:itemID="{E9528291-979B-4A62-B1A1-528BA1AA3903}">
  <ds:schemaRefs/>
</ds:datastoreItem>
</file>

<file path=customXml/itemProps18.xml><?xml version="1.0" encoding="utf-8"?>
<ds:datastoreItem xmlns:ds="http://schemas.openxmlformats.org/officeDocument/2006/customXml" ds:itemID="{BA8438BE-DCE9-4C76-9347-42EAE00A03BC}">
  <ds:schemaRefs/>
</ds:datastoreItem>
</file>

<file path=customXml/itemProps19.xml><?xml version="1.0" encoding="utf-8"?>
<ds:datastoreItem xmlns:ds="http://schemas.openxmlformats.org/officeDocument/2006/customXml" ds:itemID="{6967A735-4C97-485D-B382-F47B1E09A98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Post(hashtag)</vt:lpstr>
      <vt:lpstr>post(Engagemeent)</vt:lpstr>
      <vt:lpstr>Engagment Summary</vt:lpstr>
      <vt:lpstr>Campaign Data</vt:lpstr>
      <vt:lpstr>Task2</vt:lpstr>
      <vt:lpstr>task3</vt:lpstr>
      <vt:lpstr>Task4</vt:lpstr>
      <vt:lpstr>Task5</vt:lpstr>
      <vt:lpstr>Task6</vt:lpstr>
      <vt:lpstr>video link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Maruf Saify</dc:creator>
  <cp:lastModifiedBy>maruf saify</cp:lastModifiedBy>
  <dcterms:created xsi:type="dcterms:W3CDTF">2025-12-23T14:16:14Z</dcterms:created>
  <dcterms:modified xsi:type="dcterms:W3CDTF">2026-01-06T21:13:42Z</dcterms:modified>
</cp:coreProperties>
</file>